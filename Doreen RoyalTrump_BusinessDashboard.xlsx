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📊 DASHBOARD" sheetId="1" r:id="rId1"/>
    <sheet name="📝 ENTER DATA" sheetId="2" r:id="rId2"/>
    <sheet name="💰 COSTS &amp; PROFIT" sheetId="3" r:id="rId3"/>
    <sheet name="📋 CREDIT TRACKER" sheetId="4" r:id="rId4"/>
    <sheet name="ℹ️ HEL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<sst xmlns="http://schemas.openxmlformats.org/spreadsheetml/2006/main" count="387" uniqueCount="220">
  <si>
    <t>📊   ROYAL TRUMP ENTERPRISES  |  Business Analytics Dashboard  |  Jan – Feb 2026</t>
  </si>
  <si>
    <t>Category</t>
  </si>
  <si>
    <t>Revenue</t>
  </si>
  <si>
    <t>Day</t>
  </si>
  <si>
    <t>Date</t>
  </si>
  <si>
    <t>Jan 2024</t>
  </si>
  <si>
    <t>Feb 2024</t>
  </si>
  <si>
    <t>Service</t>
  </si>
  <si>
    <t>KES</t>
  </si>
  <si>
    <t xml:space="preserve">  Printing &amp; Photocopy  ·  Nairobi  ·  Go to sheet "📝 ENTER DATA" to add new transactions</t>
  </si>
  <si>
    <t>Document Services</t>
  </si>
  <si>
    <t>Mon</t>
  </si>
  <si>
    <t>Binding</t>
  </si>
  <si>
    <t>Printing</t>
  </si>
  <si>
    <t>Printing &amp; Scanning</t>
  </si>
  <si>
    <t>Tue</t>
  </si>
  <si>
    <t>City County Licence</t>
  </si>
  <si>
    <t xml:space="preserve">  📌  KEY NUMBERS  —  January &amp; February 2026</t>
  </si>
  <si>
    <t>Other Revenue</t>
  </si>
  <si>
    <t>Wed</t>
  </si>
  <si>
    <t>ID &amp; Cards</t>
  </si>
  <si>
    <t>Insurance</t>
  </si>
  <si>
    <t>TOTAL SALES
KES 83,282
January 2026</t>
  </si>
  <si>
    <t>TOTAL SALES
KES 8,090
February 2026</t>
  </si>
  <si>
    <t>TOTAL SALES
KES 91,372
Jan + Feb combined</t>
  </si>
  <si>
    <t>PROFIT / LOSS
KES 12,782
Sales minus costs</t>
  </si>
  <si>
    <t>Photocopying</t>
  </si>
  <si>
    <t>Thu</t>
  </si>
  <si>
    <t>Lamination</t>
  </si>
  <si>
    <t>Mpers 3775 moved to po…</t>
  </si>
  <si>
    <t>Fri</t>
  </si>
  <si>
    <t>DL renewal</t>
  </si>
  <si>
    <t>Stationery &amp; Supplies</t>
  </si>
  <si>
    <t>Sat</t>
  </si>
  <si>
    <t>Token</t>
  </si>
  <si>
    <t>Typing &amp; Editing</t>
  </si>
  <si>
    <t>Scanning</t>
  </si>
  <si>
    <t>AVERAGE PER JOB
KES 142
Average from each transaction</t>
  </si>
  <si>
    <t>BEST DAY
KES 16,440
Highest single day sales</t>
  </si>
  <si>
    <t>BREAK-EVEN / DAY
KES 2,611
Minimum sales needed daily</t>
  </si>
  <si>
    <t>TOP SERVICE
Document Services
Highest earning category</t>
  </si>
  <si>
    <t>Photos 300 + Permits 1…</t>
  </si>
  <si>
    <t xml:space="preserve">  🍩  Revenue Split by Service Category</t>
  </si>
  <si>
    <t xml:space="preserve">  📅  Revenue by Day of Week</t>
  </si>
  <si>
    <t xml:space="preserve">  📈  Daily Revenue Trend  (Jan &amp; Feb 2026)</t>
  </si>
  <si>
    <t xml:space="preserve">  🏆  Top 8 Services by Revenue</t>
  </si>
  <si>
    <t xml:space="preserve">  📊  Jan vs Feb Revenue by Category</t>
  </si>
  <si>
    <t>Service Category</t>
  </si>
  <si>
    <t>Jan 2024 (KES)</t>
  </si>
  <si>
    <t>Feb 2024 (KES)</t>
  </si>
  <si>
    <t>Total (KES)</t>
  </si>
  <si>
    <t>% Share</t>
  </si>
  <si>
    <t>Jobs</t>
  </si>
  <si>
    <t>GRAND TOTAL</t>
  </si>
  <si>
    <t>📝   ENTER TRANSACTIONS  —  Add new daily sales here</t>
  </si>
  <si>
    <t xml:space="preserve">  Fill in each row: Date → Day → Service → Amount. The Month and Category columns fill automatically via formula.</t>
  </si>
  <si>
    <t xml:space="preserve">  📌  HOW TO USE THIS SHEET</t>
  </si>
  <si>
    <t>1.  Click the DATE cell in the next empty row below and type the date (e.g. 15 Mar 2024)</t>
  </si>
  <si>
    <t>2.  The DAY column fills automatically — no need to type it</t>
  </si>
  <si>
    <t>3.  Type or choose the SERVICE from the dropdown in the Service column</t>
  </si>
  <si>
    <t>4.  Type the AMOUNT in KES (numbers only — no commas or KES symbol)</t>
  </si>
  <si>
    <t>5.  The MONTH and CATEGORY columns fill automatically</t>
  </si>
  <si>
    <t>6.  Go to 📊 DASHBOARD sheet to see updated charts and KPIs</t>
  </si>
  <si>
    <t>Service / Description</t>
  </si>
  <si>
    <t>Amount (KES)</t>
  </si>
  <si>
    <t>Mpesa Balance</t>
  </si>
  <si>
    <t>Biz Balance</t>
  </si>
  <si>
    <t>Month</t>
  </si>
  <si>
    <t xml:space="preserve">  🟡 Yellow = you type here     ⬜ White = formula fills automatically     🔵 Blue header = editable</t>
  </si>
  <si>
    <t>Photocopy</t>
  </si>
  <si>
    <t>Copies</t>
  </si>
  <si>
    <t>Mock copier list + env</t>
  </si>
  <si>
    <t>ID + lamination</t>
  </si>
  <si>
    <t>Typing</t>
  </si>
  <si>
    <t>Insurance + printing</t>
  </si>
  <si>
    <t>Fairland copies (19 ref) - 1710</t>
  </si>
  <si>
    <t>Env</t>
  </si>
  <si>
    <t>Lynn copies</t>
  </si>
  <si>
    <t>Lamination + DL renewal</t>
  </si>
  <si>
    <t>Roha 1st + env</t>
  </si>
  <si>
    <t>Copier (35x5+10)</t>
  </si>
  <si>
    <t>N Sauce</t>
  </si>
  <si>
    <t>Passport</t>
  </si>
  <si>
    <t>Find minutes</t>
  </si>
  <si>
    <t>Binding + copies</t>
  </si>
  <si>
    <t>Invoice</t>
  </si>
  <si>
    <t>ID + scan</t>
  </si>
  <si>
    <t>Plain paper</t>
  </si>
  <si>
    <t>Picture</t>
  </si>
  <si>
    <t>Printing + env</t>
  </si>
  <si>
    <t>Finix copies + 1 list</t>
  </si>
  <si>
    <t>Sticker</t>
  </si>
  <si>
    <t>Mock copies + env</t>
  </si>
  <si>
    <t>Print + copy</t>
  </si>
  <si>
    <t>ID cities</t>
  </si>
  <si>
    <t>DL renewal + env</t>
  </si>
  <si>
    <t>AS photo</t>
  </si>
  <si>
    <t>Alepha arrears</t>
  </si>
  <si>
    <t>Print + lamination</t>
  </si>
  <si>
    <t>Inspection</t>
  </si>
  <si>
    <t>Photocopier</t>
  </si>
  <si>
    <t>Letter + copy</t>
  </si>
  <si>
    <t>Ardhwara</t>
  </si>
  <si>
    <t>Copy</t>
  </si>
  <si>
    <t>Motor sales</t>
  </si>
  <si>
    <t>DL</t>
  </si>
  <si>
    <t>Roha 1st</t>
  </si>
  <si>
    <t>Licence checking</t>
  </si>
  <si>
    <t>Jenin</t>
  </si>
  <si>
    <t>Scan</t>
  </si>
  <si>
    <t>Print (colour) + scan</t>
  </si>
  <si>
    <t>Print out + env</t>
  </si>
  <si>
    <t>Kevo</t>
  </si>
  <si>
    <t>Print out + binding</t>
  </si>
  <si>
    <t>ID copy (colour)</t>
  </si>
  <si>
    <t>Klokabiz</t>
  </si>
  <si>
    <t>Print (colour)</t>
  </si>
  <si>
    <t>Print out (black)</t>
  </si>
  <si>
    <t>Print + photocopy + eFlu</t>
  </si>
  <si>
    <t>Print + copies</t>
  </si>
  <si>
    <t>Insurance quotation</t>
  </si>
  <si>
    <t>Acceptance + e-citizen</t>
  </si>
  <si>
    <t>Fairland</t>
  </si>
  <si>
    <t>Print outs (colour)</t>
  </si>
  <si>
    <t>E-citizen + lamination</t>
  </si>
  <si>
    <t>Print out copy</t>
  </si>
  <si>
    <t>Print out</t>
  </si>
  <si>
    <t>Jaleh ISH auto garage</t>
  </si>
  <si>
    <t>1bin batula (mercy)</t>
  </si>
  <si>
    <t>CV + env</t>
  </si>
  <si>
    <t>Print</t>
  </si>
  <si>
    <t>ID copier</t>
  </si>
  <si>
    <t>Birth cert</t>
  </si>
  <si>
    <t>ID</t>
  </si>
  <si>
    <t>Printing copier</t>
  </si>
  <si>
    <t>Print copy</t>
  </si>
  <si>
    <t>Lynn</t>
  </si>
  <si>
    <t>Printing + scan</t>
  </si>
  <si>
    <t>Glue</t>
  </si>
  <si>
    <t>Envelope A4</t>
  </si>
  <si>
    <t>Printing + 10 copy</t>
  </si>
  <si>
    <t>ID replica</t>
  </si>
  <si>
    <t>Phone charging</t>
  </si>
  <si>
    <t>Print outs</t>
  </si>
  <si>
    <t>Typing + copy</t>
  </si>
  <si>
    <t>Print + scan</t>
  </si>
  <si>
    <t>Print colour</t>
  </si>
  <si>
    <t>Box</t>
  </si>
  <si>
    <t>Jtepce statement</t>
  </si>
  <si>
    <t>A4 env</t>
  </si>
  <si>
    <t>💰   COSTS &amp; BREAK-EVEN TRACKER  —  Edit the yellow cells each month</t>
  </si>
  <si>
    <t xml:space="preserve">  Yellow cells = your monthly costs  |  Everything else calculates automatically  |  Update each month</t>
  </si>
  <si>
    <t xml:space="preserve">  📋  MONTHLY COSTS  —  Enter your actual expenses per month  (yellow = editable)</t>
  </si>
  <si>
    <t>Cost Item</t>
  </si>
  <si>
    <t>Mar 2024 (KES)</t>
  </si>
  <si>
    <t>Apr 2024 (KES)</t>
  </si>
  <si>
    <t>Rent / Shop</t>
  </si>
  <si>
    <t>Staff / Wages</t>
  </si>
  <si>
    <t>Supplies (paper, ink)</t>
  </si>
  <si>
    <t>Internet / Wifi</t>
  </si>
  <si>
    <t>Power / Electricity</t>
  </si>
  <si>
    <t>Other Expenses</t>
  </si>
  <si>
    <t>TOTAL MONTHLY COSTS</t>
  </si>
  <si>
    <t xml:space="preserve">  📊  BREAK-EVEN &amp; PROFIT ANALYSIS  (auto-calculated)</t>
  </si>
  <si>
    <t>Monthly Revenue (KES)</t>
  </si>
  <si>
    <t>Net Profit / Loss</t>
  </si>
  <si>
    <t>Working Days in Month</t>
  </si>
  <si>
    <t>Break-even Per Day</t>
  </si>
  <si>
    <t>Avg Daily Revenue</t>
  </si>
  <si>
    <t>Profit Margin</t>
  </si>
  <si>
    <t>📋   CREDIT TRACKER  —  Who owes you money?</t>
  </si>
  <si>
    <t xml:space="preserve">  Enter credit given and payments received below. Balance and status update automatically.</t>
  </si>
  <si>
    <t xml:space="preserve">  👥  CUSTOMER CREDIT LOG  —  Yellow cells = editable</t>
  </si>
  <si>
    <t>Customer Name</t>
  </si>
  <si>
    <t>Credit Given (KES)</t>
  </si>
  <si>
    <t>Amount Paid (KES)</t>
  </si>
  <si>
    <t>Balance Owed (KES)</t>
  </si>
  <si>
    <t>Status</t>
  </si>
  <si>
    <t>Notes</t>
  </si>
  <si>
    <t>Kevnis Auto Spare</t>
  </si>
  <si>
    <t>Stop credit — no payments made</t>
  </si>
  <si>
    <t>OBasanJo</t>
  </si>
  <si>
    <t>Send demand letter urgently</t>
  </si>
  <si>
    <t>Discuss repayment plan</t>
  </si>
  <si>
    <t>Jenin / SGA</t>
  </si>
  <si>
    <t>Agree monthly instalments</t>
  </si>
  <si>
    <t/>
  </si>
  <si>
    <t>TOTAL OUTSTANDING</t>
  </si>
  <si>
    <t>ℹ️   HOW TO USE THIS WORKBOOK  —  Quick Guide for the Shop Owner</t>
  </si>
  <si>
    <t>SHEET</t>
  </si>
  <si>
    <t>WHAT IT IS &amp; HOW TO USE IT</t>
  </si>
  <si>
    <t>📊 DASHBOARD</t>
  </si>
  <si>
    <t>Your main view. Shows all charts and key numbers. Opens automatically. Do not edit anything here — it updates itself.</t>
  </si>
  <si>
    <t>📝 ENTER DATA</t>
  </si>
  <si>
    <t>Where you add transactions every day. Fill in yellow cells only: Date, Service, Amount. Day / Month / Category fill by themselves.</t>
  </si>
  <si>
    <t>💰 COSTS &amp; PROFIT</t>
  </si>
  <si>
    <t>Enter your monthly expenses (rent, wages, etc.) in yellow cells. Net profit and break-even calculate automatically.</t>
  </si>
  <si>
    <t>📋 CREDIT TRACKER</t>
  </si>
  <si>
    <t>List customers who have taken goods/services on credit. Enter what they owe and what they have paid. Balance updates itself.</t>
  </si>
  <si>
    <t>COLOUR GUIDE</t>
  </si>
  <si>
    <t>MEANING</t>
  </si>
  <si>
    <t>🟡 Yellow cells</t>
  </si>
  <si>
    <t>YOU type here — these are your inputs</t>
  </si>
  <si>
    <t>🔵 Light blue cells</t>
  </si>
  <si>
    <t>Formula result — do not type here, it fills automatically</t>
  </si>
  <si>
    <t>🟢 Green text</t>
  </si>
  <si>
    <t>Revenue / positive numbers</t>
  </si>
  <si>
    <t>🔴 Red text</t>
  </si>
  <si>
    <t>Costs / negative / urgent</t>
  </si>
  <si>
    <t>COMMON QUESTIONS</t>
  </si>
  <si>
    <t>How do I add a new month?</t>
  </si>
  <si>
    <t>Go to 📝 ENTER DATA. Scroll to the first blank row. Start typing the new month dates. The Month column updates automatically.</t>
  </si>
  <si>
    <t>Why did a chart not update?</t>
  </si>
  <si>
    <t>Press Ctrl + Alt + F9 to force Excel to recalculate all formulas.</t>
  </si>
  <si>
    <t>Can I add a new cost type?</t>
  </si>
  <si>
    <t>Yes — go to 💰 COSTS &amp; PROFIT and type the new cost name and amount in any empty yellow row.</t>
  </si>
  <si>
    <t>How do I record a payment from a debtor?</t>
  </si>
  <si>
    <t>Go to 📋 CREDIT TRACKER. Find the customer row. Type the amount paid in the "Amount Paid" column. Balance updates automatically.</t>
  </si>
  <si>
    <t>CONTACT / SUPPORT</t>
  </si>
  <si>
    <t>Built for Royal Trump Enterprises, Nairobi — Jan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</si>
</sst>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[Red]\(#,##0\);&quot;-&quot;"/>
    <numFmt numFmtId="179" formatCode="0.0%"/>
    <numFmt numFmtId="180" formatCode="dd\ mmm\ yyyy"/>
    <numFmt numFmtId="181" formatCode="yyyy\-mm\-dd\ h:mm:ss"/>
  </numFmts>
  <fonts count="52">
    <font>
      <sz val="11"/>
      <color theme="1"/>
      <name val="Calibri"/>
      <charset val="134"/>
      <scheme val="minor"/>
    </font>
    <font>
      <b/>
      <sz val="15"/>
      <color rgb="FFFFFFFF"/>
      <name val="Calibri"/>
      <charset val="134"/>
    </font>
    <font>
      <b/>
      <sz val="10"/>
      <color rgb="FFFFFFFF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9"/>
      <color rgb="FFFFFFFF"/>
      <name val="Calibri"/>
      <charset val="134"/>
    </font>
    <font>
      <b/>
      <sz val="10"/>
      <color rgb="FFC00000"/>
      <name val="Calibri"/>
      <charset val="134"/>
    </font>
    <font>
      <sz val="10"/>
      <color rgb="FF1E7145"/>
      <name val="Calibri"/>
      <charset val="134"/>
    </font>
    <font>
      <i/>
      <sz val="9"/>
      <color rgb="FF555555"/>
      <name val="Calibri"/>
      <charset val="134"/>
    </font>
    <font>
      <sz val="10"/>
      <color rgb="FFC00000"/>
      <name val="Calibri"/>
      <charset val="134"/>
    </font>
    <font>
      <b/>
      <sz val="11"/>
      <color rgb="FFFFFFFF"/>
      <name val="Calibri"/>
      <charset val="134"/>
    </font>
    <font>
      <b/>
      <sz val="10"/>
      <color rgb="FF212121"/>
      <name val="Calibri"/>
      <charset val="134"/>
    </font>
    <font>
      <b/>
      <sz val="10"/>
      <color rgb="FF1E7145"/>
      <name val="Calibri"/>
      <charset val="134"/>
    </font>
    <font>
      <b/>
      <sz val="10"/>
      <color rgb="FF2E75B6"/>
      <name val="Calibri"/>
      <charset val="134"/>
    </font>
    <font>
      <b/>
      <sz val="10"/>
      <color rgb="FFC55A11"/>
      <name val="Calibri"/>
      <charset val="134"/>
    </font>
    <font>
      <b/>
      <sz val="9"/>
      <color rgb="FF212121"/>
      <name val="Calibri"/>
      <charset val="134"/>
    </font>
    <font>
      <sz val="9"/>
      <color rgb="FF212121"/>
      <name val="Calibri"/>
      <charset val="134"/>
    </font>
    <font>
      <i/>
      <sz val="8"/>
      <color rgb="FF555555"/>
      <name val="Calibri"/>
      <charset val="134"/>
    </font>
    <font>
      <i/>
      <sz val="10"/>
      <color rgb="FF444444"/>
      <name val="Calibri"/>
      <charset val="134"/>
    </font>
    <font>
      <sz val="10"/>
      <color rgb="FF555555"/>
      <name val="Calibri"/>
      <charset val="134"/>
    </font>
    <font>
      <i/>
      <sz val="10"/>
      <color rgb="FF1E7145"/>
      <name val="Calibri"/>
      <charset val="134"/>
    </font>
    <font>
      <sz val="9"/>
      <color rgb="FFBBBBBB"/>
      <name val="Calibri"/>
      <charset val="134"/>
    </font>
    <font>
      <b/>
      <sz val="13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rgb="FF1F2937"/>
      <name val="Calibri"/>
      <charset val="134"/>
      <scheme val="minor"/>
    </font>
    <font>
      <b/>
      <sz val="12"/>
      <color rgb="FF0E5A63"/>
      <name val="Calibri"/>
      <charset val="134"/>
      <scheme val="minor"/>
    </font>
    <font>
      <b/>
      <sz val="13"/>
      <color rgb="FF1F2937"/>
      <name val="Calibri"/>
      <charset val="134"/>
      <scheme val="minor"/>
    </font>
    <font>
      <b/>
      <sz val="9"/>
      <color rgb="FFFFFFFF"/>
      <name val="Calibri"/>
      <charset val="134"/>
    </font>
    <font>
      <sz val="9"/>
      <color rgb="FF2E75B6"/>
      <name val="Calibri"/>
      <charset val="134"/>
    </font>
    <font>
      <sz val="9"/>
      <color rgb="FF1E7145"/>
      <name val="Calibri"/>
      <charset val="134"/>
    </font>
    <font>
      <b/>
      <sz val="9"/>
      <color rgb="FF1F3864"/>
      <name val="Calibri"/>
      <charset val="134"/>
    </font>
    <font>
      <sz val="9"/>
      <color rgb="FFC55A11"/>
      <name val="Calibri"/>
      <charset val="134"/>
    </font>
    <font>
      <sz val="9"/>
      <color rgb="FF555555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9C5A00"/>
        <bgColor indexed="64"/>
      </patternFill>
    </fill>
    <fill>
      <patternFill patternType="solid">
        <fgColor rgb="FF1E7145"/>
        <bgColor indexed="64"/>
      </patternFill>
    </fill>
    <fill>
      <patternFill patternType="solid">
        <fgColor rgb="FF2E6B45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2A3F5F"/>
        <bgColor indexed="64"/>
      </patternFill>
    </fill>
    <fill>
      <patternFill patternType="solid">
        <fgColor rgb="FF12324A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0E5A63"/>
        <bgColor indexed="64"/>
      </patternFill>
    </fill>
    <fill>
      <patternFill patternType="solid">
        <fgColor rgb="FF1E7A57"/>
        <bgColor indexed="64"/>
      </patternFill>
    </fill>
    <fill>
      <patternFill patternType="solid">
        <fgColor rgb="FFB42318"/>
        <bgColor indexed="64"/>
      </patternFill>
    </fill>
    <fill>
      <patternFill patternType="solid">
        <fgColor rgb="FFEAF4F4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3" fillId="23" borderId="11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4" borderId="14" applyNumberFormat="0" applyAlignment="0" applyProtection="0">
      <alignment vertical="center"/>
    </xf>
    <xf numFmtId="0" fontId="42" fillId="25" borderId="15" applyNumberFormat="0" applyAlignment="0" applyProtection="0">
      <alignment vertical="center"/>
    </xf>
    <xf numFmtId="0" fontId="43" fillId="25" borderId="14" applyNumberFormat="0" applyAlignment="0" applyProtection="0">
      <alignment vertical="center"/>
    </xf>
    <xf numFmtId="0" fontId="44" fillId="26" borderId="16" applyNumberFormat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</cellStyleXfs>
  <cellXfs count="88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top" indent="1"/>
    </xf>
    <xf numFmtId="0" fontId="4" fillId="3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indent="1"/>
    </xf>
    <xf numFmtId="0" fontId="4" fillId="4" borderId="1" xfId="0" applyFont="1" applyFill="1" applyBorder="1" applyAlignment="1">
      <alignment horizontal="left" vertical="top" wrapText="1" indent="1"/>
    </xf>
    <xf numFmtId="0" fontId="1" fillId="5" borderId="0" xfId="0" applyFont="1" applyFill="1" applyAlignment="1">
      <alignment horizontal="left" vertical="center" indent="2"/>
    </xf>
    <xf numFmtId="0" fontId="5" fillId="6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 indent="1"/>
    </xf>
    <xf numFmtId="178" fontId="6" fillId="7" borderId="1" xfId="0" applyNumberFormat="1" applyFont="1" applyFill="1" applyBorder="1" applyAlignment="1">
      <alignment horizontal="right" vertical="center"/>
    </xf>
    <xf numFmtId="178" fontId="7" fillId="7" borderId="1" xfId="0" applyNumberFormat="1" applyFont="1" applyFill="1" applyBorder="1" applyAlignment="1">
      <alignment horizontal="right" vertical="center"/>
    </xf>
    <xf numFmtId="178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1"/>
    </xf>
    <xf numFmtId="178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indent="1"/>
    </xf>
    <xf numFmtId="178" fontId="9" fillId="7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178" fontId="10" fillId="5" borderId="1" xfId="0" applyNumberFormat="1" applyFont="1" applyFill="1" applyBorder="1" applyAlignment="1">
      <alignment horizontal="right" vertical="center"/>
    </xf>
    <xf numFmtId="0" fontId="1" fillId="8" borderId="0" xfId="0" applyFont="1" applyFill="1" applyAlignment="1">
      <alignment horizontal="left" vertical="center" indent="2"/>
    </xf>
    <xf numFmtId="0" fontId="5" fillId="9" borderId="0" xfId="0" applyFont="1" applyFill="1" applyAlignment="1">
      <alignment horizontal="left" vertical="center"/>
    </xf>
    <xf numFmtId="178" fontId="4" fillId="7" borderId="1" xfId="0" applyNumberFormat="1" applyFont="1" applyFill="1" applyBorder="1" applyAlignment="1">
      <alignment horizontal="right" vertical="center"/>
    </xf>
    <xf numFmtId="178" fontId="2" fillId="2" borderId="1" xfId="0" applyNumberFormat="1" applyFont="1" applyFill="1" applyBorder="1" applyAlignment="1">
      <alignment horizontal="right" vertical="center"/>
    </xf>
    <xf numFmtId="0" fontId="2" fillId="10" borderId="0" xfId="0" applyFont="1" applyFill="1" applyAlignment="1">
      <alignment horizontal="left" vertical="center"/>
    </xf>
    <xf numFmtId="0" fontId="11" fillId="3" borderId="1" xfId="0" applyFont="1" applyFill="1" applyBorder="1" applyAlignment="1">
      <alignment horizontal="left" vertical="center" indent="1"/>
    </xf>
    <xf numFmtId="178" fontId="12" fillId="7" borderId="1" xfId="0" applyNumberFormat="1" applyFont="1" applyFill="1" applyBorder="1" applyAlignment="1">
      <alignment horizontal="right" vertical="center"/>
    </xf>
    <xf numFmtId="178" fontId="12" fillId="3" borderId="1" xfId="0" applyNumberFormat="1" applyFont="1" applyFill="1" applyBorder="1" applyAlignment="1">
      <alignment horizontal="right" vertical="center"/>
    </xf>
    <xf numFmtId="3" fontId="13" fillId="7" borderId="1" xfId="0" applyNumberFormat="1" applyFont="1" applyFill="1" applyBorder="1" applyAlignment="1">
      <alignment horizontal="right" vertical="center"/>
    </xf>
    <xf numFmtId="3" fontId="13" fillId="4" borderId="1" xfId="0" applyNumberFormat="1" applyFont="1" applyFill="1" applyBorder="1" applyAlignment="1">
      <alignment horizontal="right" vertical="center"/>
    </xf>
    <xf numFmtId="178" fontId="6" fillId="3" borderId="1" xfId="0" applyNumberFormat="1" applyFont="1" applyFill="1" applyBorder="1" applyAlignment="1">
      <alignment horizontal="right" vertical="center"/>
    </xf>
    <xf numFmtId="178" fontId="14" fillId="4" borderId="1" xfId="0" applyNumberFormat="1" applyFont="1" applyFill="1" applyBorder="1" applyAlignment="1">
      <alignment horizontal="right" vertical="center"/>
    </xf>
    <xf numFmtId="179" fontId="12" fillId="3" borderId="1" xfId="0" applyNumberFormat="1" applyFont="1" applyFill="1" applyBorder="1" applyAlignment="1">
      <alignment horizontal="right" vertical="center"/>
    </xf>
    <xf numFmtId="0" fontId="1" fillId="10" borderId="0" xfId="0" applyFont="1" applyFill="1" applyAlignment="1">
      <alignment horizontal="left" vertical="center" indent="2"/>
    </xf>
    <xf numFmtId="0" fontId="5" fillId="11" borderId="0" xfId="0" applyFont="1" applyFill="1" applyAlignment="1">
      <alignment horizontal="left" vertical="center"/>
    </xf>
    <xf numFmtId="0" fontId="15" fillId="12" borderId="1" xfId="0" applyFont="1" applyFill="1" applyBorder="1" applyAlignment="1">
      <alignment horizontal="left" vertical="center" indent="1"/>
    </xf>
    <xf numFmtId="0" fontId="16" fillId="1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/>
    </xf>
    <xf numFmtId="180" fontId="4" fillId="7" borderId="1" xfId="0" applyNumberFormat="1" applyFont="1" applyFill="1" applyBorder="1" applyAlignment="1">
      <alignment horizontal="left" vertical="center" indent="1"/>
    </xf>
    <xf numFmtId="0" fontId="18" fillId="1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indent="1"/>
    </xf>
    <xf numFmtId="178" fontId="19" fillId="7" borderId="1" xfId="0" applyNumberFormat="1" applyFont="1" applyFill="1" applyBorder="1" applyAlignment="1">
      <alignment horizontal="right" vertical="center"/>
    </xf>
    <xf numFmtId="0" fontId="20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left" vertical="center" indent="1"/>
    </xf>
    <xf numFmtId="0" fontId="21" fillId="14" borderId="0" xfId="0" applyFont="1" applyFill="1" applyAlignment="1">
      <alignment horizontal="left" vertical="center"/>
    </xf>
    <xf numFmtId="181" fontId="0" fillId="0" borderId="0" xfId="0" applyNumberFormat="1"/>
    <xf numFmtId="0" fontId="22" fillId="15" borderId="2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/>
    <xf numFmtId="0" fontId="23" fillId="0" borderId="4" xfId="0" applyFont="1" applyFill="1" applyBorder="1" applyAlignment="1"/>
    <xf numFmtId="0" fontId="24" fillId="16" borderId="2" xfId="0" applyFont="1" applyFill="1" applyBorder="1" applyAlignment="1">
      <alignment horizontal="center" vertical="center" wrapText="1"/>
    </xf>
    <xf numFmtId="0" fontId="22" fillId="17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center" vertical="center" wrapText="1"/>
    </xf>
    <xf numFmtId="0" fontId="22" fillId="19" borderId="2" xfId="0" applyFont="1" applyFill="1" applyBorder="1" applyAlignment="1">
      <alignment horizontal="center" vertical="center" wrapText="1"/>
    </xf>
    <xf numFmtId="0" fontId="23" fillId="0" borderId="5" xfId="0" applyFont="1" applyFill="1" applyBorder="1" applyAlignment="1"/>
    <xf numFmtId="0" fontId="23" fillId="0" borderId="0" xfId="0" applyFont="1" applyFill="1" applyAlignment="1"/>
    <xf numFmtId="0" fontId="23" fillId="0" borderId="6" xfId="0" applyFont="1" applyFill="1" applyBorder="1" applyAlignment="1"/>
    <xf numFmtId="0" fontId="25" fillId="16" borderId="2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/>
    <xf numFmtId="0" fontId="23" fillId="0" borderId="8" xfId="0" applyFont="1" applyFill="1" applyBorder="1" applyAlignment="1"/>
    <xf numFmtId="0" fontId="23" fillId="0" borderId="9" xfId="0" applyFont="1" applyFill="1" applyBorder="1" applyAlignment="1"/>
    <xf numFmtId="0" fontId="23" fillId="16" borderId="2" xfId="0" applyFont="1" applyFill="1" applyBorder="1" applyAlignment="1">
      <alignment horizontal="center" vertical="center" wrapText="1"/>
    </xf>
    <xf numFmtId="0" fontId="26" fillId="20" borderId="2" xfId="0" applyFont="1" applyFill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center" vertical="center" wrapText="1"/>
    </xf>
    <xf numFmtId="0" fontId="2" fillId="22" borderId="0" xfId="0" applyFont="1" applyFill="1" applyAlignment="1">
      <alignment horizontal="left" vertical="center"/>
    </xf>
    <xf numFmtId="0" fontId="27" fillId="2" borderId="10" xfId="0" applyFont="1" applyFill="1" applyBorder="1" applyAlignment="1">
      <alignment horizontal="left" vertical="center" indent="1"/>
    </xf>
    <xf numFmtId="0" fontId="27" fillId="2" borderId="10" xfId="0" applyFont="1" applyFill="1" applyBorder="1" applyAlignment="1">
      <alignment horizontal="right" vertical="center"/>
    </xf>
    <xf numFmtId="49" fontId="16" fillId="3" borderId="1" xfId="0" applyNumberFormat="1" applyFont="1" applyFill="1" applyBorder="1" applyAlignment="1">
      <alignment horizontal="left" vertical="center" indent="1"/>
    </xf>
    <xf numFmtId="178" fontId="28" fillId="3" borderId="1" xfId="0" applyNumberFormat="1" applyFont="1" applyFill="1" applyBorder="1" applyAlignment="1">
      <alignment horizontal="right" vertical="center"/>
    </xf>
    <xf numFmtId="178" fontId="29" fillId="3" borderId="1" xfId="0" applyNumberFormat="1" applyFont="1" applyFill="1" applyBorder="1" applyAlignment="1">
      <alignment horizontal="right" vertical="center"/>
    </xf>
    <xf numFmtId="178" fontId="30" fillId="3" borderId="1" xfId="0" applyNumberFormat="1" applyFont="1" applyFill="1" applyBorder="1" applyAlignment="1">
      <alignment horizontal="right" vertical="center"/>
    </xf>
    <xf numFmtId="179" fontId="31" fillId="3" borderId="1" xfId="0" applyNumberFormat="1" applyFont="1" applyFill="1" applyBorder="1" applyAlignment="1">
      <alignment horizontal="right" vertical="center"/>
    </xf>
    <xf numFmtId="3" fontId="32" fillId="3" borderId="1" xfId="0" applyNumberFormat="1" applyFont="1" applyFill="1" applyBorder="1" applyAlignment="1">
      <alignment horizontal="right" vertical="center"/>
    </xf>
    <xf numFmtId="49" fontId="16" fillId="4" borderId="1" xfId="0" applyNumberFormat="1" applyFont="1" applyFill="1" applyBorder="1" applyAlignment="1">
      <alignment horizontal="left" vertical="center" indent="1"/>
    </xf>
    <xf numFmtId="178" fontId="28" fillId="4" borderId="1" xfId="0" applyNumberFormat="1" applyFont="1" applyFill="1" applyBorder="1" applyAlignment="1">
      <alignment horizontal="right" vertical="center"/>
    </xf>
    <xf numFmtId="178" fontId="29" fillId="4" borderId="1" xfId="0" applyNumberFormat="1" applyFont="1" applyFill="1" applyBorder="1" applyAlignment="1">
      <alignment horizontal="right" vertical="center"/>
    </xf>
    <xf numFmtId="178" fontId="30" fillId="4" borderId="1" xfId="0" applyNumberFormat="1" applyFont="1" applyFill="1" applyBorder="1" applyAlignment="1">
      <alignment horizontal="right" vertical="center"/>
    </xf>
    <xf numFmtId="179" fontId="31" fillId="4" borderId="1" xfId="0" applyNumberFormat="1" applyFont="1" applyFill="1" applyBorder="1" applyAlignment="1">
      <alignment horizontal="right" vertical="center"/>
    </xf>
    <xf numFmtId="3" fontId="32" fillId="4" borderId="1" xfId="0" applyNumberFormat="1" applyFont="1" applyFill="1" applyBorder="1" applyAlignment="1">
      <alignment horizontal="right" vertical="center"/>
    </xf>
    <xf numFmtId="49" fontId="2" fillId="2" borderId="10" xfId="0" applyNumberFormat="1" applyFont="1" applyFill="1" applyBorder="1" applyAlignment="1">
      <alignment horizontal="left" vertical="center" indent="1"/>
    </xf>
    <xf numFmtId="178" fontId="2" fillId="2" borderId="10" xfId="0" applyNumberFormat="1" applyFont="1" applyFill="1" applyBorder="1" applyAlignment="1">
      <alignment horizontal="right" vertical="center"/>
    </xf>
    <xf numFmtId="179" fontId="2" fillId="2" borderId="10" xfId="0" applyNumberFormat="1" applyFont="1" applyFill="1" applyBorder="1" applyAlignment="1">
      <alignment horizontal="right" vertical="center"/>
    </xf>
    <xf numFmtId="3" fontId="2" fillId="2" borderId="10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fgColor rgb="FFFFCCCC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'📊 DASHBOARD'!$T$1</c:f>
              <c:strCache>
                <c:ptCount val="1"/>
                <c:pt idx="0">
                  <c:v>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4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5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6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7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8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delete val="1"/>
          </c:dLbls>
          <c:cat>
            <c:strRef>
              <c:f>'📊 DASHBOARD'!$S$2:$S$10</c:f>
              <c:strCache>
                <c:ptCount val="9"/>
                <c:pt idx="0">
                  <c:v>Document Services</c:v>
                </c:pt>
                <c:pt idx="1">
                  <c:v>Printing &amp; Scanning</c:v>
                </c:pt>
                <c:pt idx="2">
                  <c:v>Other Revenue</c:v>
                </c:pt>
                <c:pt idx="3">
                  <c:v>Photocopying</c:v>
                </c:pt>
                <c:pt idx="4">
                  <c:v>Lamination</c:v>
                </c:pt>
                <c:pt idx="5">
                  <c:v>Stationery &amp; Supplies</c:v>
                </c:pt>
                <c:pt idx="6">
                  <c:v>Typing &amp; Editing</c:v>
                </c:pt>
                <c:pt idx="7">
                  <c:v>Binding</c:v>
                </c:pt>
                <c:pt idx="8">
                  <c:v>ID &amp; Cards</c:v>
                </c:pt>
              </c:strCache>
            </c:strRef>
          </c:cat>
          <c:val>
            <c:numRef>
              <c:f>'📊 DASHBOARD'!$T$2:$T$10</c:f>
              <c:numCache>
                <c:formatCode>General</c:formatCode>
                <c:ptCount val="9"/>
                <c:pt idx="0">
                  <c:v>27620</c:v>
                </c:pt>
                <c:pt idx="1">
                  <c:v>20931</c:v>
                </c:pt>
                <c:pt idx="2">
                  <c:v>18084</c:v>
                </c:pt>
                <c:pt idx="3">
                  <c:v>13077</c:v>
                </c:pt>
                <c:pt idx="4">
                  <c:v>3620</c:v>
                </c:pt>
                <c:pt idx="5">
                  <c:v>3005</c:v>
                </c:pt>
                <c:pt idx="6">
                  <c:v>2215</c:v>
                </c:pt>
                <c:pt idx="7">
                  <c:v>2035</c:v>
                </c:pt>
                <c:pt idx="8">
                  <c:v>785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64b056-d37a-4a49-8109-946f2467fc2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695274307442"/>
          <c:y val="0.088339222614841"/>
          <c:w val="0.758147745790331"/>
          <c:h val="0.82717635721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'📊 DASHBOARD'!$W$1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DASHBOARD'!$V$2:$V$7</c:f>
              <c:strCache>
                <c:ptCount val="6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</c:strCache>
            </c:strRef>
          </c:cat>
          <c:val>
            <c:numRef>
              <c:f>'📊 DASHBOARD'!$W$2:$W$7</c:f>
              <c:numCache>
                <c:formatCode>General</c:formatCode>
                <c:ptCount val="6"/>
                <c:pt idx="0">
                  <c:v>26130</c:v>
                </c:pt>
                <c:pt idx="1">
                  <c:v>16581</c:v>
                </c:pt>
                <c:pt idx="2">
                  <c:v>14981</c:v>
                </c:pt>
                <c:pt idx="3">
                  <c:v>9630</c:v>
                </c:pt>
                <c:pt idx="4">
                  <c:v>12890</c:v>
                </c:pt>
                <c:pt idx="5">
                  <c:v>7685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tickLblSkip val="1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KES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8e1c46d-c820-437f-934c-f23b75e5816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'📊 DASHBOARD'!$Z$1</c:f>
              <c:strCache>
                <c:ptCount val="1"/>
                <c:pt idx="0">
                  <c:v>Revenue</c:v>
                </c:pt>
              </c:strCache>
            </c:strRef>
          </c:tx>
          <c:spPr>
            <a:ln w="22000" cap="rnd" cmpd="sng" algn="ctr">
              <a:solidFill>
                <a:srgbClr val="1E714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'📊 DASHBOARD'!$Y$2:$Y$23</c:f>
              <c:numCache>
                <c:formatCode>yyyy\-mm\-dd\ h:mm:ss</c:formatCode>
                <c:ptCount val="22"/>
                <c:pt idx="0" c:formatCode="yyyy\-mm\-dd\ h:mm:ss">
                  <c:v>46034</c:v>
                </c:pt>
                <c:pt idx="1" c:formatCode="yyyy\-mm\-dd\ h:mm:ss">
                  <c:v>46035</c:v>
                </c:pt>
                <c:pt idx="2" c:formatCode="yyyy\-mm\-dd\ h:mm:ss">
                  <c:v>46036</c:v>
                </c:pt>
                <c:pt idx="3" c:formatCode="yyyy\-mm\-dd\ h:mm:ss">
                  <c:v>46037</c:v>
                </c:pt>
                <c:pt idx="4" c:formatCode="yyyy\-mm\-dd\ h:mm:ss">
                  <c:v>46038</c:v>
                </c:pt>
                <c:pt idx="5" c:formatCode="yyyy\-mm\-dd\ h:mm:ss">
                  <c:v>46039</c:v>
                </c:pt>
                <c:pt idx="6" c:formatCode="yyyy\-mm\-dd\ h:mm:ss">
                  <c:v>46040</c:v>
                </c:pt>
                <c:pt idx="7" c:formatCode="yyyy\-mm\-dd\ h:mm:ss">
                  <c:v>46041</c:v>
                </c:pt>
                <c:pt idx="8" c:formatCode="yyyy\-mm\-dd\ h:mm:ss">
                  <c:v>46042</c:v>
                </c:pt>
                <c:pt idx="9" c:formatCode="yyyy\-mm\-dd\ h:mm:ss">
                  <c:v>46043</c:v>
                </c:pt>
                <c:pt idx="10" c:formatCode="yyyy\-mm\-dd\ h:mm:ss">
                  <c:v>46044</c:v>
                </c:pt>
                <c:pt idx="11" c:formatCode="yyyy\-mm\-dd\ h:mm:ss">
                  <c:v>46045</c:v>
                </c:pt>
                <c:pt idx="12" c:formatCode="yyyy\-mm\-dd\ h:mm:ss">
                  <c:v>46046</c:v>
                </c:pt>
                <c:pt idx="13" c:formatCode="yyyy\-mm\-dd\ h:mm:ss">
                  <c:v>46047</c:v>
                </c:pt>
                <c:pt idx="14" c:formatCode="yyyy\-mm\-dd\ h:mm:ss">
                  <c:v>46048</c:v>
                </c:pt>
                <c:pt idx="15" c:formatCode="yyyy\-mm\-dd\ h:mm:ss">
                  <c:v>46049</c:v>
                </c:pt>
                <c:pt idx="16" c:formatCode="yyyy\-mm\-dd\ h:mm:ss">
                  <c:v>46050</c:v>
                </c:pt>
                <c:pt idx="17" c:formatCode="yyyy\-mm\-dd\ h:mm:ss">
                  <c:v>46051</c:v>
                </c:pt>
                <c:pt idx="18" c:formatCode="yyyy\-mm\-dd\ h:mm:ss">
                  <c:v>46052</c:v>
                </c:pt>
                <c:pt idx="19" c:formatCode="yyyy\-mm\-dd\ h:mm:ss">
                  <c:v>46053</c:v>
                </c:pt>
                <c:pt idx="20" c:formatCode="yyyy\-mm\-dd\ h:mm:ss">
                  <c:v>46054</c:v>
                </c:pt>
                <c:pt idx="21" c:formatCode="yyyy\-mm\-dd\ h:mm:ss">
                  <c:v>46055</c:v>
                </c:pt>
              </c:numCache>
            </c:numRef>
          </c:cat>
          <c:val>
            <c:numRef>
              <c:f>'📊 DASHBOARD'!$Z$2:$Z$23</c:f>
              <c:numCache>
                <c:formatCode>General</c:formatCode>
                <c:ptCount val="22"/>
                <c:pt idx="0">
                  <c:v>4775</c:v>
                </c:pt>
                <c:pt idx="1">
                  <c:v>1605</c:v>
                </c:pt>
                <c:pt idx="2">
                  <c:v>1300</c:v>
                </c:pt>
                <c:pt idx="3">
                  <c:v>3330</c:v>
                </c:pt>
                <c:pt idx="4">
                  <c:v>6519</c:v>
                </c:pt>
                <c:pt idx="5">
                  <c:v>4760</c:v>
                </c:pt>
                <c:pt idx="6">
                  <c:v>1340</c:v>
                </c:pt>
                <c:pt idx="7">
                  <c:v>2845</c:v>
                </c:pt>
                <c:pt idx="8">
                  <c:v>3715</c:v>
                </c:pt>
                <c:pt idx="9">
                  <c:v>1240</c:v>
                </c:pt>
                <c:pt idx="10">
                  <c:v>6360</c:v>
                </c:pt>
                <c:pt idx="11">
                  <c:v>3997</c:v>
                </c:pt>
                <c:pt idx="12">
                  <c:v>6280</c:v>
                </c:pt>
                <c:pt idx="13">
                  <c:v>3160</c:v>
                </c:pt>
                <c:pt idx="14">
                  <c:v>2310</c:v>
                </c:pt>
                <c:pt idx="15">
                  <c:v>2365</c:v>
                </c:pt>
                <c:pt idx="16">
                  <c:v>935</c:v>
                </c:pt>
                <c:pt idx="17">
                  <c:v>16440</c:v>
                </c:pt>
                <c:pt idx="18">
                  <c:v>6065</c:v>
                </c:pt>
                <c:pt idx="19">
                  <c:v>3941</c:v>
                </c:pt>
                <c:pt idx="20">
                  <c:v>5130</c:v>
                </c:pt>
                <c:pt idx="21">
                  <c:v>2960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date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KES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b19e93c-c446-4024-901b-fef6699dffa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DASHBOARD'!$AG$1</c:f>
              <c:strCache>
                <c:ptCount val="1"/>
                <c:pt idx="0">
                  <c:v>KES</c:v>
                </c:pt>
              </c:strCache>
            </c:strRef>
          </c:tx>
          <c:spPr>
            <a:solidFill>
              <a:srgbClr val="C55A11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DASHBOARD'!$AF$2:$AF$9</c:f>
              <c:strCache>
                <c:ptCount val="8"/>
                <c:pt idx="0">
                  <c:v>Printing</c:v>
                </c:pt>
                <c:pt idx="1">
                  <c:v>City County Licence</c:v>
                </c:pt>
                <c:pt idx="2">
                  <c:v>Insurance</c:v>
                </c:pt>
                <c:pt idx="3">
                  <c:v>Mpers 3775 moved to po…</c:v>
                </c:pt>
                <c:pt idx="4">
                  <c:v>DL renewal</c:v>
                </c:pt>
                <c:pt idx="5">
                  <c:v>Token</c:v>
                </c:pt>
                <c:pt idx="6">
                  <c:v>Scanning</c:v>
                </c:pt>
                <c:pt idx="7">
                  <c:v>Photos 300 + Permits 1…</c:v>
                </c:pt>
              </c:strCache>
            </c:strRef>
          </c:cat>
          <c:val>
            <c:numRef>
              <c:f>'📊 DASHBOARD'!$AG$2:$AG$9</c:f>
              <c:numCache>
                <c:formatCode>General</c:formatCode>
                <c:ptCount val="8"/>
                <c:pt idx="0">
                  <c:v>9656</c:v>
                </c:pt>
                <c:pt idx="1">
                  <c:v>7500</c:v>
                </c:pt>
                <c:pt idx="2">
                  <c:v>4710</c:v>
                </c:pt>
                <c:pt idx="3">
                  <c:v>3775</c:v>
                </c:pt>
                <c:pt idx="4">
                  <c:v>2700</c:v>
                </c:pt>
                <c:pt idx="5">
                  <c:v>2300</c:v>
                </c:pt>
                <c:pt idx="6">
                  <c:v>2015</c:v>
                </c:pt>
                <c:pt idx="7">
                  <c:v>1780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87b7009-d213-41f6-a45f-1fc7b68863d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DASHBOARD'!$AC$1</c:f>
              <c:strCache>
                <c:ptCount val="1"/>
                <c:pt idx="0">
                  <c:v>Jan 2024</c:v>
                </c:pt>
              </c:strCache>
            </c:strRef>
          </c:tx>
          <c:spPr>
            <a:solidFill>
              <a:srgbClr val="2E75B6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DASHBOARD'!$AB$2:$AB$10</c:f>
              <c:strCache>
                <c:ptCount val="9"/>
                <c:pt idx="0">
                  <c:v>Binding</c:v>
                </c:pt>
                <c:pt idx="1">
                  <c:v>Document Services</c:v>
                </c:pt>
                <c:pt idx="2">
                  <c:v>ID &amp; Cards</c:v>
                </c:pt>
                <c:pt idx="3">
                  <c:v>Lamination</c:v>
                </c:pt>
                <c:pt idx="4">
                  <c:v>Other Revenue</c:v>
                </c:pt>
                <c:pt idx="5">
                  <c:v>Photocopying</c:v>
                </c:pt>
                <c:pt idx="6">
                  <c:v>Printing &amp; Scanning</c:v>
                </c:pt>
                <c:pt idx="7">
                  <c:v>Stationery &amp; Supplies</c:v>
                </c:pt>
                <c:pt idx="8">
                  <c:v>Typing &amp; Editing</c:v>
                </c:pt>
              </c:strCache>
            </c:strRef>
          </c:cat>
          <c:val>
            <c:numRef>
              <c:f>'📊 DASHBOARD'!$AC$2:$AC$10</c:f>
              <c:numCache>
                <c:formatCode>General</c:formatCode>
                <c:ptCount val="9"/>
                <c:pt idx="0">
                  <c:v>2035</c:v>
                </c:pt>
                <c:pt idx="1">
                  <c:v>25470</c:v>
                </c:pt>
                <c:pt idx="2">
                  <c:v>670</c:v>
                </c:pt>
                <c:pt idx="3">
                  <c:v>3540</c:v>
                </c:pt>
                <c:pt idx="4">
                  <c:v>17804</c:v>
                </c:pt>
                <c:pt idx="5">
                  <c:v>12967</c:v>
                </c:pt>
                <c:pt idx="6">
                  <c:v>15886</c:v>
                </c:pt>
                <c:pt idx="7">
                  <c:v>2925</c:v>
                </c:pt>
                <c:pt idx="8">
                  <c:v>1985</c:v>
                </c:pt>
              </c:numCache>
            </c:numRef>
          </c:val>
        </c:ser>
        <c:ser>
          <c:idx val="1"/>
          <c:order val="1"/>
          <c:tx>
            <c:strRef>
              <c:f>'📊 DASHBOARD'!$AD$1</c:f>
              <c:strCache>
                <c:ptCount val="1"/>
                <c:pt idx="0">
                  <c:v>Feb 2024</c:v>
                </c:pt>
              </c:strCache>
            </c:strRef>
          </c:tx>
          <c:spPr>
            <a:solidFill>
              <a:srgbClr val="1E7145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DASHBOARD'!$AB$2:$AB$10</c:f>
              <c:strCache>
                <c:ptCount val="9"/>
                <c:pt idx="0">
                  <c:v>Binding</c:v>
                </c:pt>
                <c:pt idx="1">
                  <c:v>Document Services</c:v>
                </c:pt>
                <c:pt idx="2">
                  <c:v>ID &amp; Cards</c:v>
                </c:pt>
                <c:pt idx="3">
                  <c:v>Lamination</c:v>
                </c:pt>
                <c:pt idx="4">
                  <c:v>Other Revenue</c:v>
                </c:pt>
                <c:pt idx="5">
                  <c:v>Photocopying</c:v>
                </c:pt>
                <c:pt idx="6">
                  <c:v>Printing &amp; Scanning</c:v>
                </c:pt>
                <c:pt idx="7">
                  <c:v>Stationery &amp; Supplies</c:v>
                </c:pt>
                <c:pt idx="8">
                  <c:v>Typing &amp; Editing</c:v>
                </c:pt>
              </c:strCache>
            </c:strRef>
          </c:cat>
          <c:val>
            <c:numRef>
              <c:f>'📊 DASHBOARD'!$AD$2:$AD$10</c:f>
              <c:numCache>
                <c:formatCode>General</c:formatCode>
                <c:ptCount val="9"/>
                <c:pt idx="0">
                  <c:v>0</c:v>
                </c:pt>
                <c:pt idx="1">
                  <c:v>2150</c:v>
                </c:pt>
                <c:pt idx="2">
                  <c:v>115</c:v>
                </c:pt>
                <c:pt idx="3">
                  <c:v>80</c:v>
                </c:pt>
                <c:pt idx="4">
                  <c:v>280</c:v>
                </c:pt>
                <c:pt idx="5">
                  <c:v>110</c:v>
                </c:pt>
                <c:pt idx="6">
                  <c:v>5045</c:v>
                </c:pt>
                <c:pt idx="7">
                  <c:v>80</c:v>
                </c:pt>
                <c:pt idx="8">
                  <c:v>230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KES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ac3d00-14b5-4b7d-9c49-153dfdc6001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14</xdr:row>
      <xdr:rowOff>0</xdr:rowOff>
    </xdr:from>
    <xdr:ext cx="4547235" cy="2985770"/>
    <xdr:graphicFrame>
      <xdr:nvGraphicFramePr>
        <xdr:cNvPr id="2" name="Chart 1"/>
        <xdr:cNvGraphicFramePr/>
      </xdr:nvGraphicFramePr>
      <xdr:xfrm>
        <a:off x="80010" y="3911600"/>
        <a:ext cx="4547235" cy="2985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800100</xdr:colOff>
      <xdr:row>14</xdr:row>
      <xdr:rowOff>117475</xdr:rowOff>
    </xdr:from>
    <xdr:ext cx="5393690" cy="2880360"/>
    <xdr:graphicFrame>
      <xdr:nvGraphicFramePr>
        <xdr:cNvPr id="3" name="Chart 2"/>
        <xdr:cNvGraphicFramePr/>
      </xdr:nvGraphicFramePr>
      <xdr:xfrm>
        <a:off x="4956810" y="4029075"/>
        <a:ext cx="5393690" cy="288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29</xdr:row>
      <xdr:rowOff>0</xdr:rowOff>
    </xdr:from>
    <xdr:ext cx="10382885" cy="3318510"/>
    <xdr:graphicFrame>
      <xdr:nvGraphicFramePr>
        <xdr:cNvPr id="4" name="Chart 3"/>
        <xdr:cNvGraphicFramePr/>
      </xdr:nvGraphicFramePr>
      <xdr:xfrm>
        <a:off x="80010" y="7391400"/>
        <a:ext cx="10382885" cy="3318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61595</xdr:colOff>
      <xdr:row>46</xdr:row>
      <xdr:rowOff>174625</xdr:rowOff>
    </xdr:from>
    <xdr:ext cx="4817745" cy="2915285"/>
    <xdr:graphicFrame>
      <xdr:nvGraphicFramePr>
        <xdr:cNvPr id="5" name="Chart 4"/>
        <xdr:cNvGraphicFramePr/>
      </xdr:nvGraphicFramePr>
      <xdr:xfrm>
        <a:off x="141605" y="11503025"/>
        <a:ext cx="4817745" cy="2915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104140</xdr:colOff>
      <xdr:row>46</xdr:row>
      <xdr:rowOff>203200</xdr:rowOff>
    </xdr:from>
    <xdr:ext cx="5033010" cy="2915285"/>
    <xdr:graphicFrame>
      <xdr:nvGraphicFramePr>
        <xdr:cNvPr id="6" name="Chart 5"/>
        <xdr:cNvGraphicFramePr/>
      </xdr:nvGraphicFramePr>
      <xdr:xfrm>
        <a:off x="5060950" y="11531600"/>
        <a:ext cx="5033010" cy="2915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AG89"/>
  <sheetViews>
    <sheetView showGridLines="0" tabSelected="1" workbookViewId="0">
      <pane xSplit="1" ySplit="2" topLeftCell="B37" activePane="bottomRight" state="frozen"/>
      <selection/>
      <selection pane="topRight"/>
      <selection pane="bottomLeft"/>
      <selection pane="bottomRight" activeCell="Z25" sqref="Z25"/>
    </sheetView>
  </sheetViews>
  <sheetFormatPr defaultColWidth="9" defaultRowHeight="15"/>
  <cols>
    <col min="1" max="1" width="1.2" customWidth="1"/>
    <col min="2" max="2" width="21.8571428571429" customWidth="1"/>
    <col min="3" max="3" width="12.2857142857143" customWidth="1"/>
    <col min="4" max="4" width="8.28571428571429" customWidth="1"/>
    <col min="5" max="6" width="9.42857142857143" customWidth="1"/>
    <col min="7" max="7" width="7.28571428571429" customWidth="1"/>
    <col min="8" max="8" width="4.57142857142857" customWidth="1"/>
    <col min="9" max="10" width="13" customWidth="1"/>
    <col min="11" max="11" width="1.2" customWidth="1"/>
    <col min="12" max="15" width="13" customWidth="1"/>
    <col min="16" max="16" width="1.2" customWidth="1"/>
    <col min="25" max="25" width="18.5714285714286" customWidth="1"/>
  </cols>
  <sheetData>
    <row r="1" ht="38" customHeight="1" spans="1:33">
      <c r="A1" s="1" t="s">
        <v>0</v>
      </c>
      <c r="S1" t="s">
        <v>1</v>
      </c>
      <c r="T1" t="s">
        <v>2</v>
      </c>
      <c r="V1" t="s">
        <v>3</v>
      </c>
      <c r="W1" t="s">
        <v>2</v>
      </c>
      <c r="Y1" t="s">
        <v>4</v>
      </c>
      <c r="Z1" t="s">
        <v>2</v>
      </c>
      <c r="AB1" t="s">
        <v>1</v>
      </c>
      <c r="AC1" t="s">
        <v>5</v>
      </c>
      <c r="AD1" t="s">
        <v>6</v>
      </c>
      <c r="AF1" t="s">
        <v>7</v>
      </c>
      <c r="AG1" t="s">
        <v>8</v>
      </c>
    </row>
    <row r="2" ht="18" customHeight="1" spans="1:33">
      <c r="A2" s="50" t="s">
        <v>9</v>
      </c>
      <c r="S2" t="s">
        <v>10</v>
      </c>
      <c r="T2">
        <v>27620</v>
      </c>
      <c r="V2" t="s">
        <v>11</v>
      </c>
      <c r="W2">
        <v>26130</v>
      </c>
      <c r="Y2" s="51">
        <v>46034</v>
      </c>
      <c r="Z2">
        <v>4775</v>
      </c>
      <c r="AB2" t="s">
        <v>12</v>
      </c>
      <c r="AC2">
        <v>2035</v>
      </c>
      <c r="AD2">
        <v>0</v>
      </c>
      <c r="AF2" t="s">
        <v>13</v>
      </c>
      <c r="AG2">
        <v>9656</v>
      </c>
    </row>
    <row r="3" ht="18" customHeight="1" spans="1:33">
      <c r="S3" t="s">
        <v>14</v>
      </c>
      <c r="T3">
        <v>20931</v>
      </c>
      <c r="V3" t="s">
        <v>15</v>
      </c>
      <c r="W3">
        <v>16581</v>
      </c>
      <c r="Y3" s="51">
        <v>46035</v>
      </c>
      <c r="Z3">
        <v>1605</v>
      </c>
      <c r="AB3" t="s">
        <v>10</v>
      </c>
      <c r="AC3">
        <v>25470</v>
      </c>
      <c r="AD3">
        <v>2150</v>
      </c>
      <c r="AF3" t="s">
        <v>16</v>
      </c>
      <c r="AG3">
        <v>7500</v>
      </c>
    </row>
    <row r="4" ht="24" customHeight="1" spans="1:33">
      <c r="B4" s="9" t="s">
        <v>17</v>
      </c>
      <c r="S4" t="s">
        <v>18</v>
      </c>
      <c r="T4">
        <v>18084</v>
      </c>
      <c r="V4" t="s">
        <v>19</v>
      </c>
      <c r="W4">
        <v>14981</v>
      </c>
      <c r="Y4" s="51">
        <v>46036</v>
      </c>
      <c r="Z4">
        <v>1300</v>
      </c>
      <c r="AB4" t="s">
        <v>20</v>
      </c>
      <c r="AC4">
        <v>670</v>
      </c>
      <c r="AD4">
        <v>115</v>
      </c>
      <c r="AF4" t="s">
        <v>21</v>
      </c>
      <c r="AG4">
        <v>4710</v>
      </c>
    </row>
    <row r="5" ht="16" customHeight="1" spans="1:33">
      <c r="B5" s="52" t="s">
        <v>22</v>
      </c>
      <c r="C5" s="53"/>
      <c r="D5" s="54"/>
      <c r="E5" s="55"/>
      <c r="F5" s="56" t="s">
        <v>23</v>
      </c>
      <c r="G5" s="53"/>
      <c r="H5" s="54"/>
      <c r="I5" s="55"/>
      <c r="J5" s="57" t="s">
        <v>24</v>
      </c>
      <c r="K5" s="53"/>
      <c r="L5" s="54"/>
      <c r="M5" s="55"/>
      <c r="N5" s="58" t="s">
        <v>25</v>
      </c>
      <c r="O5" s="54"/>
      <c r="S5" t="s">
        <v>26</v>
      </c>
      <c r="T5">
        <v>13077</v>
      </c>
      <c r="V5" t="s">
        <v>27</v>
      </c>
      <c r="W5">
        <v>9630</v>
      </c>
      <c r="Y5" s="51">
        <v>46037</v>
      </c>
      <c r="Z5">
        <v>3330</v>
      </c>
      <c r="AB5" t="s">
        <v>28</v>
      </c>
      <c r="AC5">
        <v>3540</v>
      </c>
      <c r="AD5">
        <v>80</v>
      </c>
      <c r="AF5" t="s">
        <v>29</v>
      </c>
      <c r="AG5">
        <v>3775</v>
      </c>
    </row>
    <row r="6" ht="30" customHeight="1" spans="1:33">
      <c r="B6" s="59"/>
      <c r="C6" s="60"/>
      <c r="D6" s="61"/>
      <c r="E6" s="62"/>
      <c r="F6" s="59"/>
      <c r="G6" s="60"/>
      <c r="H6" s="61"/>
      <c r="I6" s="62"/>
      <c r="J6" s="59"/>
      <c r="K6" s="60"/>
      <c r="L6" s="61"/>
      <c r="M6" s="62"/>
      <c r="N6" s="59"/>
      <c r="O6" s="61"/>
      <c r="S6" t="s">
        <v>28</v>
      </c>
      <c r="T6">
        <v>3620</v>
      </c>
      <c r="V6" t="s">
        <v>30</v>
      </c>
      <c r="W6">
        <v>12890</v>
      </c>
      <c r="Y6" s="51">
        <v>46038</v>
      </c>
      <c r="Z6">
        <v>6519</v>
      </c>
      <c r="AB6" t="s">
        <v>18</v>
      </c>
      <c r="AC6">
        <v>17804</v>
      </c>
      <c r="AD6">
        <v>280</v>
      </c>
      <c r="AF6" t="s">
        <v>31</v>
      </c>
      <c r="AG6">
        <v>2700</v>
      </c>
    </row>
    <row r="7" ht="14" customHeight="1" spans="1:33">
      <c r="B7" s="63"/>
      <c r="C7" s="64"/>
      <c r="D7" s="65"/>
      <c r="E7" s="66"/>
      <c r="F7" s="63"/>
      <c r="G7" s="64"/>
      <c r="H7" s="65"/>
      <c r="I7" s="66"/>
      <c r="J7" s="63"/>
      <c r="K7" s="64"/>
      <c r="L7" s="65"/>
      <c r="M7" s="66"/>
      <c r="N7" s="63"/>
      <c r="O7" s="65"/>
      <c r="S7" t="s">
        <v>32</v>
      </c>
      <c r="T7">
        <v>3005</v>
      </c>
      <c r="V7" t="s">
        <v>33</v>
      </c>
      <c r="W7">
        <v>7685</v>
      </c>
      <c r="Y7" s="51">
        <v>46039</v>
      </c>
      <c r="Z7">
        <v>4760</v>
      </c>
      <c r="AB7" t="s">
        <v>26</v>
      </c>
      <c r="AC7">
        <v>12967</v>
      </c>
      <c r="AD7">
        <v>110</v>
      </c>
      <c r="AF7" t="s">
        <v>34</v>
      </c>
      <c r="AG7">
        <v>2300</v>
      </c>
    </row>
    <row r="8" ht="18" customHeight="1" spans="1:33"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S8" t="s">
        <v>35</v>
      </c>
      <c r="T8">
        <v>2215</v>
      </c>
      <c r="Y8" s="51">
        <v>46040</v>
      </c>
      <c r="Z8">
        <v>1340</v>
      </c>
      <c r="AB8" t="s">
        <v>14</v>
      </c>
      <c r="AC8">
        <v>15886</v>
      </c>
      <c r="AD8">
        <v>5045</v>
      </c>
      <c r="AF8" t="s">
        <v>36</v>
      </c>
      <c r="AG8">
        <v>2015</v>
      </c>
    </row>
    <row r="9" ht="16" customHeight="1" spans="1:33">
      <c r="B9" s="67" t="s">
        <v>37</v>
      </c>
      <c r="C9" s="53"/>
      <c r="D9" s="54"/>
      <c r="E9" s="66"/>
      <c r="F9" s="67" t="s">
        <v>38</v>
      </c>
      <c r="G9" s="53"/>
      <c r="H9" s="54"/>
      <c r="I9" s="66"/>
      <c r="J9" s="67" t="s">
        <v>39</v>
      </c>
      <c r="K9" s="53"/>
      <c r="L9" s="54"/>
      <c r="M9" s="66"/>
      <c r="N9" s="68" t="s">
        <v>40</v>
      </c>
      <c r="O9" s="54"/>
      <c r="S9" t="s">
        <v>12</v>
      </c>
      <c r="T9">
        <v>2035</v>
      </c>
      <c r="Y9" s="51">
        <v>46041</v>
      </c>
      <c r="Z9">
        <v>2845</v>
      </c>
      <c r="AB9" t="s">
        <v>32</v>
      </c>
      <c r="AC9">
        <v>2925</v>
      </c>
      <c r="AD9">
        <v>80</v>
      </c>
      <c r="AF9" t="s">
        <v>41</v>
      </c>
      <c r="AG9">
        <v>1780</v>
      </c>
    </row>
    <row r="10" ht="30" customHeight="1" spans="1:33">
      <c r="B10" s="59"/>
      <c r="C10" s="60"/>
      <c r="D10" s="61"/>
      <c r="E10" s="66"/>
      <c r="F10" s="59"/>
      <c r="G10" s="60"/>
      <c r="H10" s="61"/>
      <c r="I10" s="66"/>
      <c r="J10" s="59"/>
      <c r="K10" s="60"/>
      <c r="L10" s="61"/>
      <c r="M10" s="66"/>
      <c r="N10" s="59"/>
      <c r="O10" s="61"/>
      <c r="S10" t="s">
        <v>20</v>
      </c>
      <c r="T10">
        <v>785</v>
      </c>
      <c r="Y10" s="51">
        <v>46042</v>
      </c>
      <c r="Z10">
        <v>3715</v>
      </c>
      <c r="AB10" t="s">
        <v>35</v>
      </c>
      <c r="AC10">
        <v>1985</v>
      </c>
      <c r="AD10">
        <v>230</v>
      </c>
    </row>
    <row r="11" ht="36" customHeight="1" spans="1:33">
      <c r="B11" s="63"/>
      <c r="C11" s="64"/>
      <c r="D11" s="65"/>
      <c r="E11" s="66"/>
      <c r="F11" s="63"/>
      <c r="G11" s="64"/>
      <c r="H11" s="65"/>
      <c r="I11" s="66"/>
      <c r="J11" s="63"/>
      <c r="K11" s="64"/>
      <c r="L11" s="65"/>
      <c r="M11" s="66"/>
      <c r="N11" s="63"/>
      <c r="O11" s="65"/>
      <c r="Y11" s="51">
        <v>46043</v>
      </c>
      <c r="Z11">
        <v>1240</v>
      </c>
    </row>
    <row r="12" ht="18" customHeight="1" spans="1:33">
      <c r="Y12" s="51">
        <v>46044</v>
      </c>
      <c r="Z12">
        <v>6360</v>
      </c>
    </row>
    <row r="13" ht="10" customHeight="1" spans="1:33">
      <c r="Y13" s="51">
        <v>46045</v>
      </c>
      <c r="Z13">
        <v>3997</v>
      </c>
    </row>
    <row r="14" ht="22" customHeight="1" spans="1:33">
      <c r="B14" s="69" t="s">
        <v>42</v>
      </c>
      <c r="I14" s="69" t="s">
        <v>43</v>
      </c>
      <c r="Y14" s="51">
        <v>46046</v>
      </c>
      <c r="Z14">
        <v>6280</v>
      </c>
    </row>
    <row r="15" ht="18" customHeight="1" spans="1:33">
      <c r="Y15" s="51">
        <v>46047</v>
      </c>
      <c r="Z15">
        <v>3160</v>
      </c>
    </row>
    <row r="16" ht="18" customHeight="1" spans="1:33">
      <c r="Y16" s="51">
        <v>46048</v>
      </c>
      <c r="Z16">
        <v>2310</v>
      </c>
    </row>
    <row r="17" ht="18" customHeight="1" spans="2:26">
      <c r="Y17" s="51">
        <v>46049</v>
      </c>
      <c r="Z17">
        <v>2365</v>
      </c>
    </row>
    <row r="18" ht="18" customHeight="1" spans="2:26">
      <c r="Y18" s="51">
        <v>46050</v>
      </c>
      <c r="Z18">
        <v>935</v>
      </c>
    </row>
    <row r="19" ht="18" customHeight="1" spans="2:26">
      <c r="Y19" s="51">
        <v>46051</v>
      </c>
      <c r="Z19">
        <v>16440</v>
      </c>
    </row>
    <row r="20" ht="18" customHeight="1" spans="2:26">
      <c r="Y20" s="51">
        <v>46052</v>
      </c>
      <c r="Z20">
        <v>6065</v>
      </c>
    </row>
    <row r="21" ht="18" customHeight="1" spans="2:26">
      <c r="Y21" s="51">
        <v>46053</v>
      </c>
      <c r="Z21">
        <v>3941</v>
      </c>
    </row>
    <row r="22" ht="18" customHeight="1" spans="2:26">
      <c r="Y22" s="51">
        <v>46054</v>
      </c>
      <c r="Z22">
        <v>5130</v>
      </c>
    </row>
    <row r="23" ht="18" customHeight="1" spans="2:26">
      <c r="Y23" s="51">
        <v>46055</v>
      </c>
      <c r="Z23">
        <v>2960</v>
      </c>
    </row>
    <row r="24" ht="18" customHeight="1"/>
    <row r="25" ht="18" customHeight="1"/>
    <row r="26" ht="18" customHeight="1"/>
    <row r="27" ht="18" customHeight="1"/>
    <row r="28" ht="18" customHeight="1"/>
    <row r="29" ht="22" customHeight="1" spans="2:26">
      <c r="B29" s="69" t="s">
        <v>44</v>
      </c>
    </row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22" customHeight="1" spans="2:9">
      <c r="B45" s="69" t="s">
        <v>45</v>
      </c>
      <c r="I45" s="69" t="s">
        <v>46</v>
      </c>
    </row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22" customHeight="1" spans="2:7">
      <c r="B61" s="9"/>
    </row>
    <row r="62" ht="20" customHeight="1"/>
    <row r="63" ht="17" customHeight="1" spans="2:7">
      <c r="B63" s="70" t="s">
        <v>47</v>
      </c>
      <c r="C63" s="71" t="s">
        <v>48</v>
      </c>
      <c r="D63" s="71" t="s">
        <v>49</v>
      </c>
      <c r="E63" s="71" t="s">
        <v>50</v>
      </c>
      <c r="F63" s="71" t="s">
        <v>51</v>
      </c>
      <c r="G63" s="71" t="s">
        <v>52</v>
      </c>
    </row>
    <row r="64" ht="17" customHeight="1" spans="2:7">
      <c r="B64" s="72" t="s">
        <v>10</v>
      </c>
      <c r="C64" s="73">
        <v>25470</v>
      </c>
      <c r="D64" s="74">
        <v>2150</v>
      </c>
      <c r="E64" s="75">
        <v>27620</v>
      </c>
      <c r="F64" s="76">
        <v>0.302280786236484</v>
      </c>
      <c r="G64" s="77">
        <v>142</v>
      </c>
    </row>
    <row r="65" ht="17" customHeight="1" spans="2:7">
      <c r="B65" s="78" t="s">
        <v>14</v>
      </c>
      <c r="C65" s="79">
        <v>15886</v>
      </c>
      <c r="D65" s="80">
        <v>5045</v>
      </c>
      <c r="E65" s="81">
        <v>20931</v>
      </c>
      <c r="F65" s="82">
        <v>0.229074552379285</v>
      </c>
      <c r="G65" s="83">
        <v>270</v>
      </c>
    </row>
    <row r="66" ht="17" customHeight="1" spans="2:7">
      <c r="B66" s="72" t="s">
        <v>18</v>
      </c>
      <c r="C66" s="73">
        <v>17804</v>
      </c>
      <c r="D66" s="74">
        <v>280</v>
      </c>
      <c r="E66" s="75">
        <v>18084</v>
      </c>
      <c r="F66" s="76">
        <v>0.197916210655343</v>
      </c>
      <c r="G66" s="77">
        <v>58</v>
      </c>
    </row>
    <row r="67" ht="17" customHeight="1" spans="2:7">
      <c r="B67" s="78" t="s">
        <v>26</v>
      </c>
      <c r="C67" s="79">
        <v>12967</v>
      </c>
      <c r="D67" s="80">
        <v>110</v>
      </c>
      <c r="E67" s="81">
        <v>13077</v>
      </c>
      <c r="F67" s="82">
        <v>0.143118241912183</v>
      </c>
      <c r="G67" s="83">
        <v>93</v>
      </c>
    </row>
    <row r="68" ht="17" customHeight="1" spans="2:7">
      <c r="B68" s="72" t="s">
        <v>28</v>
      </c>
      <c r="C68" s="73">
        <v>3540</v>
      </c>
      <c r="D68" s="74">
        <v>80</v>
      </c>
      <c r="E68" s="75">
        <v>3620</v>
      </c>
      <c r="F68" s="76">
        <v>0.0396182638007267</v>
      </c>
      <c r="G68" s="77">
        <v>20</v>
      </c>
    </row>
    <row r="69" ht="17" customHeight="1" spans="2:7">
      <c r="B69" s="78" t="s">
        <v>32</v>
      </c>
      <c r="C69" s="79">
        <v>2925</v>
      </c>
      <c r="D69" s="80">
        <v>80</v>
      </c>
      <c r="E69" s="81">
        <v>3005</v>
      </c>
      <c r="F69" s="82">
        <v>0.0328875366633104</v>
      </c>
      <c r="G69" s="83">
        <v>32</v>
      </c>
    </row>
    <row r="70" ht="17" customHeight="1" spans="2:7">
      <c r="B70" s="72" t="s">
        <v>35</v>
      </c>
      <c r="C70" s="73">
        <v>1985</v>
      </c>
      <c r="D70" s="74">
        <v>230</v>
      </c>
      <c r="E70" s="75">
        <v>2215</v>
      </c>
      <c r="F70" s="76">
        <v>0.0242415619664667</v>
      </c>
      <c r="G70" s="77">
        <v>19</v>
      </c>
    </row>
    <row r="71" ht="17" customHeight="1" spans="2:7">
      <c r="B71" s="78" t="s">
        <v>12</v>
      </c>
      <c r="C71" s="79">
        <v>2035</v>
      </c>
      <c r="D71" s="80">
        <v>0</v>
      </c>
      <c r="E71" s="81">
        <v>2035</v>
      </c>
      <c r="F71" s="82">
        <v>0.0222715930481986</v>
      </c>
      <c r="G71" s="83">
        <v>4</v>
      </c>
    </row>
    <row r="72" ht="20" customHeight="1" spans="2:7">
      <c r="B72" s="72" t="s">
        <v>20</v>
      </c>
      <c r="C72" s="73">
        <v>670</v>
      </c>
      <c r="D72" s="74">
        <v>115</v>
      </c>
      <c r="E72" s="75">
        <v>785</v>
      </c>
      <c r="F72" s="76">
        <v>0.00859125333800289</v>
      </c>
      <c r="G72" s="77">
        <v>17</v>
      </c>
    </row>
    <row r="73" ht="18" customHeight="1" spans="2:7">
      <c r="B73" s="84" t="s">
        <v>53</v>
      </c>
      <c r="C73" s="85">
        <v>83282</v>
      </c>
      <c r="D73" s="85">
        <v>8090</v>
      </c>
      <c r="E73" s="85">
        <v>91372</v>
      </c>
      <c r="F73" s="86">
        <v>1</v>
      </c>
      <c r="G73" s="87">
        <v>655</v>
      </c>
    </row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</sheetData>
  <mergeCells count="17">
    <mergeCell ref="A1:P1"/>
    <mergeCell ref="A2:P2"/>
    <mergeCell ref="B4:O4"/>
    <mergeCell ref="B14:H14"/>
    <mergeCell ref="I14:O14"/>
    <mergeCell ref="B29:O29"/>
    <mergeCell ref="B45:H45"/>
    <mergeCell ref="I45:O45"/>
    <mergeCell ref="B61:O61"/>
    <mergeCell ref="B5:D7"/>
    <mergeCell ref="F5:H7"/>
    <mergeCell ref="J5:L7"/>
    <mergeCell ref="N5:O7"/>
    <mergeCell ref="B9:D11"/>
    <mergeCell ref="F9:H11"/>
    <mergeCell ref="J9:L11"/>
    <mergeCell ref="N9:O11"/>
  </mergeCells>
  <conditionalFormatting sqref="F64:F72">
    <cfRule type="colorScale" priority="1">
      <colorScale>
        <cfvo type="min"/>
        <cfvo type="max"/>
        <color rgb="FFFFFFFF"/>
        <color rgb="FF1E7145"/>
      </colorScale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7145"/>
  </sheetPr>
  <dimension ref="A1:I204"/>
  <sheetViews>
    <sheetView showGridLines="0" workbookViewId="0">
      <pane xSplit="1" ySplit="12" topLeftCell="B105" activePane="bottomRight" state="frozen"/>
      <selection/>
      <selection pane="topRight"/>
      <selection pane="bottomLeft"/>
      <selection pane="bottomRight" activeCell="B205" sqref="B205"/>
    </sheetView>
  </sheetViews>
  <sheetFormatPr defaultColWidth="9" defaultRowHeight="15"/>
  <cols>
    <col min="1" max="1" width="1.5047619047619" customWidth="1"/>
    <col min="2" max="2" width="14" customWidth="1"/>
    <col min="3" max="3" width="10" customWidth="1"/>
    <col min="4" max="4" width="32" customWidth="1"/>
    <col min="5" max="7" width="14" customWidth="1"/>
    <col min="8" max="9" width="20" customWidth="1"/>
    <col min="10" max="10" width="2" customWidth="1"/>
  </cols>
  <sheetData>
    <row r="1" ht="34" customHeight="1" spans="1:9">
      <c r="A1" s="38" t="s">
        <v>54</v>
      </c>
    </row>
    <row r="2" ht="18" customHeight="1" spans="1:9">
      <c r="A2" s="39" t="s">
        <v>55</v>
      </c>
    </row>
    <row r="3" ht="18" customHeight="1"/>
    <row r="4" ht="20" customHeight="1" spans="1:9">
      <c r="B4" s="9" t="s">
        <v>56</v>
      </c>
    </row>
    <row r="5" ht="18" customHeight="1" spans="1:9">
      <c r="B5" s="40" t="s">
        <v>57</v>
      </c>
    </row>
    <row r="6" ht="18" customHeight="1" spans="1:9">
      <c r="B6" s="41" t="s">
        <v>58</v>
      </c>
    </row>
    <row r="7" ht="18" customHeight="1" spans="1:9">
      <c r="B7" s="41" t="s">
        <v>59</v>
      </c>
    </row>
    <row r="8" ht="18" customHeight="1" spans="1:9">
      <c r="B8" s="41" t="s">
        <v>60</v>
      </c>
    </row>
    <row r="9" ht="18" customHeight="1" spans="1:9">
      <c r="B9" s="41" t="s">
        <v>61</v>
      </c>
    </row>
    <row r="10" ht="18" customHeight="1" spans="1:9">
      <c r="B10" s="41" t="s">
        <v>62</v>
      </c>
    </row>
    <row r="11" ht="8" customHeight="1"/>
    <row r="12" ht="22" customHeight="1" spans="1:9">
      <c r="B12" s="2" t="s">
        <v>4</v>
      </c>
      <c r="C12" s="42" t="s">
        <v>3</v>
      </c>
      <c r="D12" s="42" t="s">
        <v>63</v>
      </c>
      <c r="E12" s="42" t="s">
        <v>64</v>
      </c>
      <c r="F12" s="42" t="s">
        <v>65</v>
      </c>
      <c r="G12" s="42" t="s">
        <v>66</v>
      </c>
      <c r="H12" s="42" t="s">
        <v>67</v>
      </c>
      <c r="I12" s="42" t="s">
        <v>1</v>
      </c>
    </row>
    <row r="13" ht="16" customHeight="1" spans="1:9">
      <c r="B13" s="43" t="s">
        <v>68</v>
      </c>
    </row>
    <row r="14" ht="18" customHeight="1" spans="1:9">
      <c r="B14" s="44">
        <v>46034</v>
      </c>
      <c r="C14" s="45" t="str">
        <f t="shared" ref="C14:C77" si="0">IF(B14="","",TEXT(B14,"ddd"))</f>
        <v>Mon</v>
      </c>
      <c r="D14" s="46" t="s">
        <v>69</v>
      </c>
      <c r="E14" s="31">
        <v>5</v>
      </c>
      <c r="F14" s="47"/>
      <c r="G14" s="47"/>
      <c r="H14" s="48" t="str">
        <f t="shared" ref="H14:H77" si="1">IF(B14="","",TEXT(B14,"mmm yyyy"))</f>
        <v>Jan 2026</v>
      </c>
      <c r="I14" s="49"/>
    </row>
    <row r="15" ht="18" customHeight="1" spans="1:9">
      <c r="B15" s="44">
        <v>46034</v>
      </c>
      <c r="C15" s="45" t="str">
        <f t="shared" si="0"/>
        <v>Mon</v>
      </c>
      <c r="D15" s="46" t="s">
        <v>70</v>
      </c>
      <c r="E15" s="31">
        <v>20</v>
      </c>
      <c r="F15" s="47"/>
      <c r="G15" s="47"/>
      <c r="H15" s="48" t="str">
        <f t="shared" si="1"/>
        <v>Jan 2026</v>
      </c>
      <c r="I15" s="49"/>
    </row>
    <row r="16" ht="18" customHeight="1" spans="1:9">
      <c r="B16" s="44">
        <v>46034</v>
      </c>
      <c r="C16" s="45" t="str">
        <f t="shared" si="0"/>
        <v>Mon</v>
      </c>
      <c r="D16" s="46" t="s">
        <v>69</v>
      </c>
      <c r="E16" s="31">
        <v>20</v>
      </c>
      <c r="F16" s="47"/>
      <c r="G16" s="47"/>
      <c r="H16" s="48" t="str">
        <f t="shared" si="1"/>
        <v>Jan 2026</v>
      </c>
      <c r="I16" s="49"/>
    </row>
    <row r="17" ht="18" customHeight="1" spans="2:9">
      <c r="B17" s="44">
        <v>46034</v>
      </c>
      <c r="C17" s="45" t="str">
        <f t="shared" si="0"/>
        <v>Mon</v>
      </c>
      <c r="D17" s="46" t="s">
        <v>13</v>
      </c>
      <c r="E17" s="31">
        <v>60</v>
      </c>
      <c r="F17" s="47"/>
      <c r="G17" s="47"/>
      <c r="H17" s="48" t="str">
        <f t="shared" si="1"/>
        <v>Jan 2026</v>
      </c>
      <c r="I17" s="49"/>
    </row>
    <row r="18" ht="18" customHeight="1" spans="2:9">
      <c r="B18" s="44">
        <v>46034</v>
      </c>
      <c r="C18" s="45" t="str">
        <f t="shared" si="0"/>
        <v>Mon</v>
      </c>
      <c r="D18" s="46" t="s">
        <v>13</v>
      </c>
      <c r="E18" s="31">
        <v>80</v>
      </c>
      <c r="F18" s="47"/>
      <c r="G18" s="47"/>
      <c r="H18" s="48" t="str">
        <f t="shared" si="1"/>
        <v>Jan 2026</v>
      </c>
      <c r="I18" s="49"/>
    </row>
    <row r="19" ht="18" customHeight="1" spans="2:9">
      <c r="B19" s="44">
        <v>46034</v>
      </c>
      <c r="C19" s="45" t="str">
        <f t="shared" si="0"/>
        <v>Mon</v>
      </c>
      <c r="D19" s="46" t="s">
        <v>71</v>
      </c>
      <c r="E19" s="31">
        <v>125</v>
      </c>
      <c r="F19" s="47"/>
      <c r="G19" s="47"/>
      <c r="H19" s="48" t="str">
        <f t="shared" si="1"/>
        <v>Jan 2026</v>
      </c>
      <c r="I19" s="49"/>
    </row>
    <row r="20" ht="18" customHeight="1" spans="2:9">
      <c r="B20" s="44">
        <v>46034</v>
      </c>
      <c r="C20" s="45" t="str">
        <f t="shared" si="0"/>
        <v>Mon</v>
      </c>
      <c r="D20" s="46" t="s">
        <v>72</v>
      </c>
      <c r="E20" s="31">
        <v>130</v>
      </c>
      <c r="F20" s="47"/>
      <c r="G20" s="47"/>
      <c r="H20" s="48" t="str">
        <f t="shared" si="1"/>
        <v>Jan 2026</v>
      </c>
      <c r="I20" s="49"/>
    </row>
    <row r="21" ht="18" customHeight="1" spans="2:9">
      <c r="B21" s="44">
        <v>46034</v>
      </c>
      <c r="C21" s="45" t="str">
        <f t="shared" si="0"/>
        <v>Mon</v>
      </c>
      <c r="D21" s="46" t="s">
        <v>13</v>
      </c>
      <c r="E21" s="31">
        <v>40</v>
      </c>
      <c r="F21" s="47"/>
      <c r="G21" s="47"/>
      <c r="H21" s="48" t="str">
        <f t="shared" si="1"/>
        <v>Jan 2026</v>
      </c>
      <c r="I21" s="49"/>
    </row>
    <row r="22" ht="18" customHeight="1" spans="2:9">
      <c r="B22" s="44">
        <v>46034</v>
      </c>
      <c r="C22" s="45" t="str">
        <f t="shared" si="0"/>
        <v>Mon</v>
      </c>
      <c r="D22" s="46" t="s">
        <v>73</v>
      </c>
      <c r="E22" s="31">
        <v>70</v>
      </c>
      <c r="F22" s="47"/>
      <c r="G22" s="47"/>
      <c r="H22" s="48" t="str">
        <f t="shared" si="1"/>
        <v>Jan 2026</v>
      </c>
      <c r="I22" s="49"/>
    </row>
    <row r="23" ht="18" customHeight="1" spans="2:9">
      <c r="B23" s="44">
        <v>46034</v>
      </c>
      <c r="C23" s="45" t="str">
        <f t="shared" si="0"/>
        <v>Mon</v>
      </c>
      <c r="D23" s="46" t="s">
        <v>28</v>
      </c>
      <c r="E23" s="31">
        <v>70</v>
      </c>
      <c r="F23" s="47"/>
      <c r="G23" s="47"/>
      <c r="H23" s="48" t="str">
        <f t="shared" si="1"/>
        <v>Jan 2026</v>
      </c>
      <c r="I23" s="49"/>
    </row>
    <row r="24" ht="18" customHeight="1" spans="2:9">
      <c r="B24" s="44">
        <v>46034</v>
      </c>
      <c r="C24" s="45" t="str">
        <f t="shared" si="0"/>
        <v>Mon</v>
      </c>
      <c r="D24" s="46" t="s">
        <v>21</v>
      </c>
      <c r="E24" s="31">
        <v>50</v>
      </c>
      <c r="F24" s="47"/>
      <c r="G24" s="47"/>
      <c r="H24" s="48" t="str">
        <f t="shared" si="1"/>
        <v>Jan 2026</v>
      </c>
      <c r="I24" s="49"/>
    </row>
    <row r="25" ht="18" customHeight="1" spans="2:9">
      <c r="B25" s="44">
        <v>46034</v>
      </c>
      <c r="C25" s="45" t="str">
        <f t="shared" si="0"/>
        <v>Mon</v>
      </c>
      <c r="D25" s="46" t="s">
        <v>31</v>
      </c>
      <c r="E25" s="31">
        <v>250</v>
      </c>
      <c r="F25" s="47"/>
      <c r="G25" s="47"/>
      <c r="H25" s="48" t="str">
        <f t="shared" si="1"/>
        <v>Jan 2026</v>
      </c>
      <c r="I25" s="49"/>
    </row>
    <row r="26" ht="18" customHeight="1" spans="2:9">
      <c r="B26" s="44">
        <v>46034</v>
      </c>
      <c r="C26" s="45" t="str">
        <f t="shared" si="0"/>
        <v>Mon</v>
      </c>
      <c r="D26" s="46" t="s">
        <v>74</v>
      </c>
      <c r="E26" s="31">
        <v>70</v>
      </c>
      <c r="F26" s="47"/>
      <c r="G26" s="47"/>
      <c r="H26" s="48" t="str">
        <f t="shared" si="1"/>
        <v>Jan 2026</v>
      </c>
      <c r="I26" s="49"/>
    </row>
    <row r="27" ht="18" customHeight="1" spans="2:9">
      <c r="B27" s="44">
        <v>46034</v>
      </c>
      <c r="C27" s="45" t="str">
        <f t="shared" si="0"/>
        <v>Mon</v>
      </c>
      <c r="D27" s="46" t="s">
        <v>75</v>
      </c>
      <c r="E27" s="31">
        <v>1710</v>
      </c>
      <c r="F27" s="47"/>
      <c r="G27" s="47"/>
      <c r="H27" s="48" t="str">
        <f t="shared" si="1"/>
        <v>Jan 2026</v>
      </c>
      <c r="I27" s="49"/>
    </row>
    <row r="28" ht="18" customHeight="1" spans="2:9">
      <c r="B28" s="44">
        <v>46034</v>
      </c>
      <c r="C28" s="45" t="str">
        <f t="shared" si="0"/>
        <v>Mon</v>
      </c>
      <c r="D28" s="46" t="s">
        <v>31</v>
      </c>
      <c r="E28" s="31">
        <v>250</v>
      </c>
      <c r="F28" s="47"/>
      <c r="G28" s="47"/>
      <c r="H28" s="48" t="str">
        <f t="shared" si="1"/>
        <v>Jan 2026</v>
      </c>
      <c r="I28" s="49"/>
    </row>
    <row r="29" ht="18" customHeight="1" spans="2:9">
      <c r="B29" s="44">
        <v>46034</v>
      </c>
      <c r="C29" s="45" t="str">
        <f t="shared" si="0"/>
        <v>Mon</v>
      </c>
      <c r="D29" s="46" t="s">
        <v>76</v>
      </c>
      <c r="E29" s="31">
        <v>20</v>
      </c>
      <c r="F29" s="47"/>
      <c r="G29" s="47"/>
      <c r="H29" s="48" t="str">
        <f t="shared" si="1"/>
        <v>Jan 2026</v>
      </c>
      <c r="I29" s="49"/>
    </row>
    <row r="30" ht="18" customHeight="1" spans="2:9">
      <c r="B30" s="44">
        <v>46034</v>
      </c>
      <c r="C30" s="45" t="str">
        <f t="shared" si="0"/>
        <v>Mon</v>
      </c>
      <c r="D30" s="46" t="s">
        <v>13</v>
      </c>
      <c r="E30" s="31">
        <v>50</v>
      </c>
      <c r="F30" s="47"/>
      <c r="G30" s="47"/>
      <c r="H30" s="48" t="str">
        <f t="shared" si="1"/>
        <v>Jan 2026</v>
      </c>
      <c r="I30" s="49"/>
    </row>
    <row r="31" ht="18" customHeight="1" spans="2:9">
      <c r="B31" s="44">
        <v>46034</v>
      </c>
      <c r="C31" s="45" t="str">
        <f t="shared" si="0"/>
        <v>Mon</v>
      </c>
      <c r="D31" s="46" t="s">
        <v>77</v>
      </c>
      <c r="E31" s="31">
        <v>85</v>
      </c>
      <c r="F31" s="47"/>
      <c r="G31" s="47"/>
      <c r="H31" s="48" t="str">
        <f t="shared" si="1"/>
        <v>Jan 2026</v>
      </c>
      <c r="I31" s="49"/>
    </row>
    <row r="32" ht="18" customHeight="1" spans="2:9">
      <c r="B32" s="44">
        <v>46034</v>
      </c>
      <c r="C32" s="45" t="str">
        <f t="shared" si="0"/>
        <v>Mon</v>
      </c>
      <c r="D32" s="46" t="s">
        <v>78</v>
      </c>
      <c r="E32" s="31">
        <v>380</v>
      </c>
      <c r="F32" s="47"/>
      <c r="G32" s="47"/>
      <c r="H32" s="48" t="str">
        <f t="shared" si="1"/>
        <v>Jan 2026</v>
      </c>
      <c r="I32" s="49"/>
    </row>
    <row r="33" ht="18" customHeight="1" spans="2:9">
      <c r="B33" s="44">
        <v>46034</v>
      </c>
      <c r="C33" s="45" t="str">
        <f t="shared" si="0"/>
        <v>Mon</v>
      </c>
      <c r="D33" s="46" t="s">
        <v>13</v>
      </c>
      <c r="E33" s="31">
        <v>20</v>
      </c>
      <c r="F33" s="47"/>
      <c r="G33" s="47"/>
      <c r="H33" s="48" t="str">
        <f t="shared" si="1"/>
        <v>Jan 2026</v>
      </c>
      <c r="I33" s="49"/>
    </row>
    <row r="34" ht="18" customHeight="1" spans="2:9">
      <c r="B34" s="44">
        <v>46034</v>
      </c>
      <c r="C34" s="45" t="str">
        <f t="shared" si="0"/>
        <v>Mon</v>
      </c>
      <c r="D34" s="46" t="s">
        <v>13</v>
      </c>
      <c r="E34" s="31">
        <v>20</v>
      </c>
      <c r="F34" s="47"/>
      <c r="G34" s="47"/>
      <c r="H34" s="48" t="str">
        <f t="shared" si="1"/>
        <v>Jan 2026</v>
      </c>
      <c r="I34" s="49"/>
    </row>
    <row r="35" ht="18" customHeight="1" spans="2:9">
      <c r="B35" s="44">
        <v>46034</v>
      </c>
      <c r="C35" s="45" t="str">
        <f t="shared" si="0"/>
        <v>Mon</v>
      </c>
      <c r="D35" s="46" t="s">
        <v>79</v>
      </c>
      <c r="E35" s="31">
        <v>60</v>
      </c>
      <c r="F35" s="47"/>
      <c r="G35" s="47"/>
      <c r="H35" s="48" t="str">
        <f t="shared" si="1"/>
        <v>Jan 2026</v>
      </c>
      <c r="I35" s="49"/>
    </row>
    <row r="36" ht="18" customHeight="1" spans="2:9">
      <c r="B36" s="44">
        <v>46034</v>
      </c>
      <c r="C36" s="45" t="str">
        <f t="shared" si="0"/>
        <v>Mon</v>
      </c>
      <c r="D36" s="46" t="s">
        <v>80</v>
      </c>
      <c r="E36" s="31">
        <v>185</v>
      </c>
      <c r="F36" s="47"/>
      <c r="G36" s="47"/>
      <c r="H36" s="48" t="str">
        <f t="shared" si="1"/>
        <v>Jan 2026</v>
      </c>
      <c r="I36" s="49"/>
    </row>
    <row r="37" ht="18" customHeight="1" spans="2:9">
      <c r="B37" s="44">
        <v>46034</v>
      </c>
      <c r="C37" s="45" t="str">
        <f t="shared" si="0"/>
        <v>Mon</v>
      </c>
      <c r="D37" s="46" t="s">
        <v>81</v>
      </c>
      <c r="E37" s="31">
        <v>50</v>
      </c>
      <c r="F37" s="47"/>
      <c r="G37" s="47"/>
      <c r="H37" s="48" t="str">
        <f t="shared" si="1"/>
        <v>Jan 2026</v>
      </c>
      <c r="I37" s="49"/>
    </row>
    <row r="38" ht="18" customHeight="1" spans="2:9">
      <c r="B38" s="44">
        <v>46034</v>
      </c>
      <c r="C38" s="45" t="str">
        <f t="shared" si="0"/>
        <v>Mon</v>
      </c>
      <c r="D38" s="46" t="s">
        <v>13</v>
      </c>
      <c r="E38" s="31">
        <v>40</v>
      </c>
      <c r="F38" s="47"/>
      <c r="G38" s="47"/>
      <c r="H38" s="48" t="str">
        <f t="shared" si="1"/>
        <v>Jan 2026</v>
      </c>
      <c r="I38" s="49"/>
    </row>
    <row r="39" ht="18" customHeight="1" spans="2:9">
      <c r="B39" s="44">
        <v>46034</v>
      </c>
      <c r="C39" s="45" t="str">
        <f t="shared" si="0"/>
        <v>Mon</v>
      </c>
      <c r="D39" s="46" t="s">
        <v>69</v>
      </c>
      <c r="E39" s="31">
        <v>20</v>
      </c>
      <c r="F39" s="47"/>
      <c r="G39" s="47"/>
      <c r="H39" s="48" t="str">
        <f t="shared" si="1"/>
        <v>Jan 2026</v>
      </c>
      <c r="I39" s="49"/>
    </row>
    <row r="40" ht="18" customHeight="1" spans="2:9">
      <c r="B40" s="44">
        <v>46034</v>
      </c>
      <c r="C40" s="45" t="str">
        <f t="shared" si="0"/>
        <v>Mon</v>
      </c>
      <c r="D40" s="46" t="s">
        <v>82</v>
      </c>
      <c r="E40" s="31">
        <v>100</v>
      </c>
      <c r="F40" s="47"/>
      <c r="G40" s="47"/>
      <c r="H40" s="48" t="str">
        <f t="shared" si="1"/>
        <v>Jan 2026</v>
      </c>
      <c r="I40" s="49"/>
    </row>
    <row r="41" ht="18" customHeight="1" spans="2:9">
      <c r="B41" s="44">
        <v>46034</v>
      </c>
      <c r="C41" s="45" t="str">
        <f t="shared" si="0"/>
        <v>Mon</v>
      </c>
      <c r="D41" s="46" t="s">
        <v>83</v>
      </c>
      <c r="E41" s="31">
        <v>200</v>
      </c>
      <c r="F41" s="47"/>
      <c r="G41" s="47"/>
      <c r="H41" s="48" t="str">
        <f t="shared" si="1"/>
        <v>Jan 2026</v>
      </c>
      <c r="I41" s="49"/>
    </row>
    <row r="42" ht="18" customHeight="1" spans="2:9">
      <c r="B42" s="44">
        <v>46034</v>
      </c>
      <c r="C42" s="45" t="str">
        <f t="shared" si="0"/>
        <v>Mon</v>
      </c>
      <c r="D42" s="46" t="s">
        <v>13</v>
      </c>
      <c r="E42" s="31">
        <v>60</v>
      </c>
      <c r="F42" s="47"/>
      <c r="G42" s="47"/>
      <c r="H42" s="48" t="str">
        <f t="shared" si="1"/>
        <v>Jan 2026</v>
      </c>
      <c r="I42" s="49"/>
    </row>
    <row r="43" ht="18" customHeight="1" spans="2:9">
      <c r="B43" s="44">
        <v>46034</v>
      </c>
      <c r="C43" s="45" t="str">
        <f t="shared" si="0"/>
        <v>Mon</v>
      </c>
      <c r="D43" s="46" t="s">
        <v>21</v>
      </c>
      <c r="E43" s="31">
        <v>50</v>
      </c>
      <c r="F43" s="47"/>
      <c r="G43" s="47"/>
      <c r="H43" s="48" t="str">
        <f t="shared" si="1"/>
        <v>Jan 2026</v>
      </c>
      <c r="I43" s="49"/>
    </row>
    <row r="44" ht="18" customHeight="1" spans="2:9">
      <c r="B44" s="44">
        <v>46034</v>
      </c>
      <c r="C44" s="45" t="str">
        <f t="shared" si="0"/>
        <v>Mon</v>
      </c>
      <c r="D44" s="46" t="s">
        <v>84</v>
      </c>
      <c r="E44" s="31">
        <v>145</v>
      </c>
      <c r="F44" s="47"/>
      <c r="G44" s="47"/>
      <c r="H44" s="48" t="str">
        <f t="shared" si="1"/>
        <v>Jan 2026</v>
      </c>
      <c r="I44" s="49"/>
    </row>
    <row r="45" ht="18" customHeight="1" spans="2:9">
      <c r="B45" s="44">
        <v>46034</v>
      </c>
      <c r="C45" s="45" t="str">
        <f t="shared" si="0"/>
        <v>Mon</v>
      </c>
      <c r="D45" s="46" t="s">
        <v>13</v>
      </c>
      <c r="E45" s="31">
        <v>120</v>
      </c>
      <c r="F45" s="47"/>
      <c r="G45" s="47"/>
      <c r="H45" s="48" t="str">
        <f t="shared" si="1"/>
        <v>Jan 2026</v>
      </c>
      <c r="I45" s="49"/>
    </row>
    <row r="46" ht="18" customHeight="1" spans="2:9">
      <c r="B46" s="44">
        <v>46034</v>
      </c>
      <c r="C46" s="45" t="str">
        <f t="shared" si="0"/>
        <v>Mon</v>
      </c>
      <c r="D46" s="46" t="s">
        <v>13</v>
      </c>
      <c r="E46" s="31">
        <v>20</v>
      </c>
      <c r="F46" s="47"/>
      <c r="G46" s="47"/>
      <c r="H46" s="48" t="str">
        <f t="shared" si="1"/>
        <v>Jan 2026</v>
      </c>
      <c r="I46" s="49"/>
    </row>
    <row r="47" ht="18" customHeight="1" spans="2:9">
      <c r="B47" s="44">
        <v>46034</v>
      </c>
      <c r="C47" s="45" t="str">
        <f t="shared" si="0"/>
        <v>Mon</v>
      </c>
      <c r="D47" s="46" t="s">
        <v>85</v>
      </c>
      <c r="E47" s="31">
        <v>70</v>
      </c>
      <c r="F47" s="47"/>
      <c r="G47" s="47"/>
      <c r="H47" s="48" t="str">
        <f t="shared" si="1"/>
        <v>Jan 2026</v>
      </c>
      <c r="I47" s="49"/>
    </row>
    <row r="48" ht="18" customHeight="1" spans="2:9">
      <c r="B48" s="44">
        <v>46034</v>
      </c>
      <c r="C48" s="45" t="str">
        <f t="shared" si="0"/>
        <v>Mon</v>
      </c>
      <c r="D48" s="46" t="s">
        <v>13</v>
      </c>
      <c r="E48" s="31">
        <v>30</v>
      </c>
      <c r="F48" s="47"/>
      <c r="G48" s="47"/>
      <c r="H48" s="48" t="str">
        <f t="shared" si="1"/>
        <v>Jan 2026</v>
      </c>
      <c r="I48" s="49"/>
    </row>
    <row r="49" ht="18" customHeight="1" spans="2:9">
      <c r="B49" s="44">
        <v>46034</v>
      </c>
      <c r="C49" s="45" t="str">
        <f t="shared" si="0"/>
        <v>Mon</v>
      </c>
      <c r="D49" s="46" t="s">
        <v>86</v>
      </c>
      <c r="E49" s="31">
        <v>40</v>
      </c>
      <c r="F49" s="47"/>
      <c r="G49" s="47"/>
      <c r="H49" s="48" t="str">
        <f t="shared" si="1"/>
        <v>Jan 2026</v>
      </c>
      <c r="I49" s="49"/>
    </row>
    <row r="50" ht="18" customHeight="1" spans="2:9">
      <c r="B50" s="44">
        <v>46034</v>
      </c>
      <c r="C50" s="45" t="str">
        <f t="shared" si="0"/>
        <v>Mon</v>
      </c>
      <c r="D50" s="46" t="s">
        <v>13</v>
      </c>
      <c r="E50" s="31">
        <v>20</v>
      </c>
      <c r="F50" s="47"/>
      <c r="G50" s="47"/>
      <c r="H50" s="48" t="str">
        <f t="shared" si="1"/>
        <v>Jan 2026</v>
      </c>
      <c r="I50" s="49"/>
    </row>
    <row r="51" ht="18" customHeight="1" spans="2:9">
      <c r="B51" s="44">
        <v>46034</v>
      </c>
      <c r="C51" s="45" t="str">
        <f t="shared" si="0"/>
        <v>Mon</v>
      </c>
      <c r="D51" s="46" t="s">
        <v>13</v>
      </c>
      <c r="E51" s="31">
        <v>40</v>
      </c>
      <c r="F51" s="47"/>
      <c r="G51" s="47"/>
      <c r="H51" s="48" t="str">
        <f t="shared" si="1"/>
        <v>Jan 2026</v>
      </c>
      <c r="I51" s="49"/>
    </row>
    <row r="52" ht="18" customHeight="1" spans="2:9">
      <c r="B52" s="44">
        <v>46035</v>
      </c>
      <c r="C52" s="45" t="str">
        <f t="shared" si="0"/>
        <v>Tue</v>
      </c>
      <c r="D52" s="46" t="s">
        <v>13</v>
      </c>
      <c r="E52" s="31">
        <v>10</v>
      </c>
      <c r="F52" s="47"/>
      <c r="G52" s="47"/>
      <c r="H52" s="48" t="str">
        <f t="shared" si="1"/>
        <v>Jan 2026</v>
      </c>
      <c r="I52" s="49"/>
    </row>
    <row r="53" ht="18" customHeight="1" spans="2:9">
      <c r="B53" s="44">
        <v>46035</v>
      </c>
      <c r="C53" s="45" t="str">
        <f t="shared" si="0"/>
        <v>Tue</v>
      </c>
      <c r="D53" s="46" t="s">
        <v>87</v>
      </c>
      <c r="E53" s="31">
        <v>5</v>
      </c>
      <c r="F53" s="47"/>
      <c r="G53" s="47"/>
      <c r="H53" s="48" t="str">
        <f t="shared" si="1"/>
        <v>Jan 2026</v>
      </c>
      <c r="I53" s="49"/>
    </row>
    <row r="54" ht="18" customHeight="1" spans="2:9">
      <c r="B54" s="44">
        <v>46035</v>
      </c>
      <c r="C54" s="45" t="str">
        <f t="shared" si="0"/>
        <v>Tue</v>
      </c>
      <c r="D54" s="46" t="s">
        <v>88</v>
      </c>
      <c r="E54" s="31">
        <v>50</v>
      </c>
      <c r="F54" s="47"/>
      <c r="G54" s="47"/>
      <c r="H54" s="48" t="str">
        <f t="shared" si="1"/>
        <v>Jan 2026</v>
      </c>
      <c r="I54" s="49"/>
    </row>
    <row r="55" ht="18" customHeight="1" spans="2:9">
      <c r="B55" s="44">
        <v>46035</v>
      </c>
      <c r="C55" s="45" t="str">
        <f t="shared" si="0"/>
        <v>Tue</v>
      </c>
      <c r="D55" s="46" t="s">
        <v>88</v>
      </c>
      <c r="E55" s="31">
        <v>50</v>
      </c>
      <c r="F55" s="47"/>
      <c r="G55" s="47"/>
      <c r="H55" s="48" t="str">
        <f t="shared" si="1"/>
        <v>Jan 2026</v>
      </c>
      <c r="I55" s="49"/>
    </row>
    <row r="56" ht="18" customHeight="1" spans="2:9">
      <c r="B56" s="44">
        <v>46035</v>
      </c>
      <c r="C56" s="45" t="str">
        <f t="shared" si="0"/>
        <v>Tue</v>
      </c>
      <c r="D56" s="46" t="s">
        <v>21</v>
      </c>
      <c r="E56" s="31">
        <v>50</v>
      </c>
      <c r="F56" s="47"/>
      <c r="G56" s="47"/>
      <c r="H56" s="48" t="str">
        <f t="shared" si="1"/>
        <v>Jan 2026</v>
      </c>
      <c r="I56" s="49"/>
    </row>
    <row r="57" ht="18" customHeight="1" spans="2:9">
      <c r="B57" s="44">
        <v>46035</v>
      </c>
      <c r="C57" s="45" t="str">
        <f t="shared" si="0"/>
        <v>Tue</v>
      </c>
      <c r="D57" s="46" t="s">
        <v>89</v>
      </c>
      <c r="E57" s="31">
        <v>30</v>
      </c>
      <c r="F57" s="47"/>
      <c r="G57" s="47"/>
      <c r="H57" s="48" t="str">
        <f t="shared" si="1"/>
        <v>Jan 2026</v>
      </c>
      <c r="I57" s="49"/>
    </row>
    <row r="58" ht="18" customHeight="1" spans="2:9">
      <c r="B58" s="44">
        <v>46035</v>
      </c>
      <c r="C58" s="45" t="str">
        <f t="shared" si="0"/>
        <v>Tue</v>
      </c>
      <c r="D58" s="46" t="s">
        <v>12</v>
      </c>
      <c r="E58" s="31">
        <v>100</v>
      </c>
      <c r="F58" s="47"/>
      <c r="G58" s="47"/>
      <c r="H58" s="48" t="str">
        <f t="shared" si="1"/>
        <v>Jan 2026</v>
      </c>
      <c r="I58" s="49"/>
    </row>
    <row r="59" ht="18" customHeight="1" spans="2:9">
      <c r="B59" s="44">
        <v>46035</v>
      </c>
      <c r="C59" s="45" t="str">
        <f t="shared" si="0"/>
        <v>Tue</v>
      </c>
      <c r="D59" s="46" t="s">
        <v>90</v>
      </c>
      <c r="E59" s="31">
        <v>290</v>
      </c>
      <c r="F59" s="47"/>
      <c r="G59" s="47"/>
      <c r="H59" s="48" t="str">
        <f t="shared" si="1"/>
        <v>Jan 2026</v>
      </c>
      <c r="I59" s="49"/>
    </row>
    <row r="60" ht="18" customHeight="1" spans="2:9">
      <c r="B60" s="44">
        <v>46035</v>
      </c>
      <c r="C60" s="45" t="str">
        <f t="shared" si="0"/>
        <v>Tue</v>
      </c>
      <c r="D60" s="46" t="s">
        <v>21</v>
      </c>
      <c r="E60" s="31">
        <v>50</v>
      </c>
      <c r="F60" s="47"/>
      <c r="G60" s="47"/>
      <c r="H60" s="48" t="str">
        <f t="shared" si="1"/>
        <v>Jan 2026</v>
      </c>
      <c r="I60" s="49"/>
    </row>
    <row r="61" ht="18" customHeight="1" spans="2:9">
      <c r="B61" s="44">
        <v>46035</v>
      </c>
      <c r="C61" s="45" t="str">
        <f t="shared" si="0"/>
        <v>Tue</v>
      </c>
      <c r="D61" s="46" t="s">
        <v>13</v>
      </c>
      <c r="E61" s="31">
        <v>20</v>
      </c>
      <c r="F61" s="47"/>
      <c r="G61" s="47"/>
      <c r="H61" s="48" t="str">
        <f t="shared" si="1"/>
        <v>Jan 2026</v>
      </c>
      <c r="I61" s="49"/>
    </row>
    <row r="62" ht="18" customHeight="1" spans="2:9">
      <c r="B62" s="44">
        <v>46035</v>
      </c>
      <c r="C62" s="45" t="str">
        <f t="shared" si="0"/>
        <v>Tue</v>
      </c>
      <c r="D62" s="46" t="s">
        <v>91</v>
      </c>
      <c r="E62" s="31">
        <v>250</v>
      </c>
      <c r="F62" s="47"/>
      <c r="G62" s="47"/>
      <c r="H62" s="48" t="str">
        <f t="shared" si="1"/>
        <v>Jan 2026</v>
      </c>
      <c r="I62" s="49"/>
    </row>
    <row r="63" ht="18" customHeight="1" spans="2:9">
      <c r="B63" s="44">
        <v>46035</v>
      </c>
      <c r="C63" s="45" t="str">
        <f t="shared" si="0"/>
        <v>Tue</v>
      </c>
      <c r="D63" s="46" t="s">
        <v>13</v>
      </c>
      <c r="E63" s="31">
        <v>20</v>
      </c>
      <c r="F63" s="47"/>
      <c r="G63" s="47"/>
      <c r="H63" s="48" t="str">
        <f t="shared" si="1"/>
        <v>Jan 2026</v>
      </c>
      <c r="I63" s="49"/>
    </row>
    <row r="64" ht="18" customHeight="1" spans="2:9">
      <c r="B64" s="44">
        <v>46035</v>
      </c>
      <c r="C64" s="45" t="str">
        <f t="shared" si="0"/>
        <v>Tue</v>
      </c>
      <c r="D64" s="46" t="s">
        <v>69</v>
      </c>
      <c r="E64" s="31">
        <v>20</v>
      </c>
      <c r="F64" s="47"/>
      <c r="G64" s="47"/>
      <c r="H64" s="48" t="str">
        <f t="shared" si="1"/>
        <v>Jan 2026</v>
      </c>
      <c r="I64" s="49"/>
    </row>
    <row r="65" ht="18" customHeight="1" spans="2:9">
      <c r="B65" s="44">
        <v>46035</v>
      </c>
      <c r="C65" s="45" t="str">
        <f t="shared" si="0"/>
        <v>Tue</v>
      </c>
      <c r="D65" s="46" t="s">
        <v>21</v>
      </c>
      <c r="E65" s="31">
        <v>50</v>
      </c>
      <c r="F65" s="47"/>
      <c r="G65" s="47"/>
      <c r="H65" s="48" t="str">
        <f t="shared" si="1"/>
        <v>Jan 2026</v>
      </c>
      <c r="I65" s="49"/>
    </row>
    <row r="66" ht="18" customHeight="1" spans="2:9">
      <c r="B66" s="44">
        <v>46035</v>
      </c>
      <c r="C66" s="45" t="str">
        <f t="shared" si="0"/>
        <v>Tue</v>
      </c>
      <c r="D66" s="46" t="s">
        <v>31</v>
      </c>
      <c r="E66" s="31">
        <v>250</v>
      </c>
      <c r="F66" s="47"/>
      <c r="G66" s="47"/>
      <c r="H66" s="48" t="str">
        <f t="shared" si="1"/>
        <v>Jan 2026</v>
      </c>
      <c r="I66" s="49"/>
    </row>
    <row r="67" ht="18" customHeight="1" spans="2:9">
      <c r="B67" s="44">
        <v>46035</v>
      </c>
      <c r="C67" s="45" t="str">
        <f t="shared" si="0"/>
        <v>Tue</v>
      </c>
      <c r="D67" s="46" t="s">
        <v>13</v>
      </c>
      <c r="E67" s="31">
        <v>10</v>
      </c>
      <c r="F67" s="47"/>
      <c r="G67" s="47"/>
      <c r="H67" s="48" t="str">
        <f t="shared" si="1"/>
        <v>Jan 2026</v>
      </c>
      <c r="I67" s="49"/>
    </row>
    <row r="68" ht="18" customHeight="1" spans="2:9">
      <c r="B68" s="44">
        <v>46035</v>
      </c>
      <c r="C68" s="45" t="str">
        <f t="shared" si="0"/>
        <v>Tue</v>
      </c>
      <c r="D68" s="46" t="s">
        <v>13</v>
      </c>
      <c r="E68" s="31">
        <v>50</v>
      </c>
      <c r="F68" s="47"/>
      <c r="G68" s="47"/>
      <c r="H68" s="48" t="str">
        <f t="shared" si="1"/>
        <v>Jan 2026</v>
      </c>
      <c r="I68" s="49"/>
    </row>
    <row r="69" ht="18" customHeight="1" spans="2:9">
      <c r="B69" s="44">
        <v>46035</v>
      </c>
      <c r="C69" s="45" t="str">
        <f t="shared" si="0"/>
        <v>Tue</v>
      </c>
      <c r="D69" s="46" t="s">
        <v>31</v>
      </c>
      <c r="E69" s="31">
        <v>200</v>
      </c>
      <c r="F69" s="47"/>
      <c r="G69" s="47"/>
      <c r="H69" s="48" t="str">
        <f t="shared" si="1"/>
        <v>Jan 2026</v>
      </c>
      <c r="I69" s="49"/>
    </row>
    <row r="70" ht="18" customHeight="1" spans="2:9">
      <c r="B70" s="44">
        <v>46035</v>
      </c>
      <c r="C70" s="45" t="str">
        <f t="shared" si="0"/>
        <v>Tue</v>
      </c>
      <c r="D70" s="46" t="s">
        <v>89</v>
      </c>
      <c r="E70" s="31">
        <v>50</v>
      </c>
      <c r="F70" s="47"/>
      <c r="G70" s="47"/>
      <c r="H70" s="48" t="str">
        <f t="shared" si="1"/>
        <v>Jan 2026</v>
      </c>
      <c r="I70" s="49"/>
    </row>
    <row r="71" ht="18" customHeight="1" spans="2:9">
      <c r="B71" s="44">
        <v>46035</v>
      </c>
      <c r="C71" s="45" t="str">
        <f t="shared" si="0"/>
        <v>Tue</v>
      </c>
      <c r="D71" s="46" t="s">
        <v>21</v>
      </c>
      <c r="E71" s="31">
        <v>50</v>
      </c>
      <c r="F71" s="47"/>
      <c r="G71" s="47"/>
      <c r="H71" s="48" t="str">
        <f t="shared" si="1"/>
        <v>Jan 2026</v>
      </c>
      <c r="I71" s="49"/>
    </row>
    <row r="72" ht="18" customHeight="1" spans="2:9">
      <c r="B72" s="44">
        <v>46037</v>
      </c>
      <c r="C72" s="45" t="str">
        <f t="shared" ref="C72:C124" si="2">IF(B72="","",TEXT(B72,"ddd"))</f>
        <v>Thu</v>
      </c>
      <c r="D72" s="46" t="s">
        <v>92</v>
      </c>
      <c r="E72" s="31">
        <v>125</v>
      </c>
      <c r="F72" s="47"/>
      <c r="G72" s="47"/>
      <c r="H72" s="48" t="str">
        <f t="shared" ref="H72:H124" si="3">IF(B72="","",TEXT(B72,"mmm yyyy"))</f>
        <v>Jan 2026</v>
      </c>
      <c r="I72" s="49"/>
    </row>
    <row r="73" ht="18" customHeight="1" spans="2:9">
      <c r="B73" s="44">
        <v>46037</v>
      </c>
      <c r="C73" s="45" t="str">
        <f t="shared" si="2"/>
        <v>Thu</v>
      </c>
      <c r="D73" s="46" t="s">
        <v>93</v>
      </c>
      <c r="E73" s="31">
        <v>210</v>
      </c>
      <c r="F73" s="47"/>
      <c r="G73" s="47"/>
      <c r="H73" s="48" t="str">
        <f t="shared" si="3"/>
        <v>Jan 2026</v>
      </c>
      <c r="I73" s="49"/>
    </row>
    <row r="74" ht="18" customHeight="1" spans="2:9">
      <c r="B74" s="44">
        <v>46037</v>
      </c>
      <c r="C74" s="45" t="str">
        <f t="shared" si="2"/>
        <v>Thu</v>
      </c>
      <c r="D74" s="46" t="s">
        <v>69</v>
      </c>
      <c r="E74" s="31">
        <v>10</v>
      </c>
      <c r="F74" s="47"/>
      <c r="G74" s="47"/>
      <c r="H74" s="48" t="str">
        <f t="shared" si="3"/>
        <v>Jan 2026</v>
      </c>
      <c r="I74" s="49"/>
    </row>
    <row r="75" ht="18" customHeight="1" spans="2:9">
      <c r="B75" s="44">
        <v>46037</v>
      </c>
      <c r="C75" s="45" t="str">
        <f t="shared" si="2"/>
        <v>Thu</v>
      </c>
      <c r="D75" s="46" t="s">
        <v>13</v>
      </c>
      <c r="E75" s="31">
        <v>30</v>
      </c>
      <c r="F75" s="47"/>
      <c r="G75" s="47"/>
      <c r="H75" s="48" t="str">
        <f t="shared" si="3"/>
        <v>Jan 2026</v>
      </c>
      <c r="I75" s="49"/>
    </row>
    <row r="76" ht="18" customHeight="1" spans="2:9">
      <c r="B76" s="44">
        <v>46037</v>
      </c>
      <c r="C76" s="45" t="str">
        <f t="shared" si="2"/>
        <v>Thu</v>
      </c>
      <c r="D76" s="46" t="s">
        <v>94</v>
      </c>
      <c r="E76" s="31">
        <v>20</v>
      </c>
      <c r="F76" s="47"/>
      <c r="G76" s="47"/>
      <c r="H76" s="48" t="str">
        <f t="shared" si="3"/>
        <v>Jan 2026</v>
      </c>
      <c r="I76" s="49"/>
    </row>
    <row r="77" ht="18" customHeight="1" spans="2:9">
      <c r="B77" s="44">
        <v>46037</v>
      </c>
      <c r="C77" s="45" t="str">
        <f t="shared" si="2"/>
        <v>Thu</v>
      </c>
      <c r="D77" s="46" t="s">
        <v>95</v>
      </c>
      <c r="E77" s="31">
        <v>210</v>
      </c>
      <c r="F77" s="47"/>
      <c r="G77" s="47"/>
      <c r="H77" s="48" t="str">
        <f t="shared" si="3"/>
        <v>Jan 2026</v>
      </c>
      <c r="I77" s="49"/>
    </row>
    <row r="78" ht="18" customHeight="1" spans="2:9">
      <c r="B78" s="44">
        <v>46037</v>
      </c>
      <c r="C78" s="45" t="str">
        <f t="shared" si="2"/>
        <v>Thu</v>
      </c>
      <c r="D78" s="46" t="s">
        <v>13</v>
      </c>
      <c r="E78" s="31">
        <v>20</v>
      </c>
      <c r="F78" s="47"/>
      <c r="G78" s="47"/>
      <c r="H78" s="48" t="str">
        <f t="shared" si="3"/>
        <v>Jan 2026</v>
      </c>
      <c r="I78" s="49"/>
    </row>
    <row r="79" ht="18" customHeight="1" spans="2:9">
      <c r="B79" s="44">
        <v>46037</v>
      </c>
      <c r="C79" s="45" t="str">
        <f t="shared" si="2"/>
        <v>Thu</v>
      </c>
      <c r="D79" s="46" t="s">
        <v>69</v>
      </c>
      <c r="E79" s="31">
        <v>20</v>
      </c>
      <c r="F79" s="47"/>
      <c r="G79" s="47"/>
      <c r="H79" s="48" t="str">
        <f t="shared" si="3"/>
        <v>Jan 2026</v>
      </c>
      <c r="I79" s="49"/>
    </row>
    <row r="80" ht="18" customHeight="1" spans="2:9">
      <c r="B80" s="44">
        <v>46037</v>
      </c>
      <c r="C80" s="45" t="str">
        <f t="shared" si="2"/>
        <v>Thu</v>
      </c>
      <c r="D80" s="46" t="s">
        <v>96</v>
      </c>
      <c r="E80" s="31">
        <v>150</v>
      </c>
      <c r="F80" s="47"/>
      <c r="G80" s="47"/>
      <c r="H80" s="48" t="str">
        <f t="shared" si="3"/>
        <v>Jan 2026</v>
      </c>
      <c r="I80" s="49"/>
    </row>
    <row r="81" ht="18" customHeight="1" spans="2:9">
      <c r="B81" s="44">
        <v>46037</v>
      </c>
      <c r="C81" s="45" t="str">
        <f t="shared" si="2"/>
        <v>Thu</v>
      </c>
      <c r="D81" s="46" t="s">
        <v>97</v>
      </c>
      <c r="E81" s="31">
        <v>990</v>
      </c>
      <c r="F81" s="47"/>
      <c r="G81" s="47"/>
      <c r="H81" s="48" t="str">
        <f t="shared" si="3"/>
        <v>Jan 2026</v>
      </c>
      <c r="I81" s="49"/>
    </row>
    <row r="82" ht="18" customHeight="1" spans="2:9">
      <c r="B82" s="44">
        <v>46037</v>
      </c>
      <c r="C82" s="45" t="str">
        <f t="shared" si="2"/>
        <v>Thu</v>
      </c>
      <c r="D82" s="46" t="s">
        <v>98</v>
      </c>
      <c r="E82" s="31">
        <v>140</v>
      </c>
      <c r="F82" s="47"/>
      <c r="G82" s="47"/>
      <c r="H82" s="48" t="str">
        <f t="shared" si="3"/>
        <v>Jan 2026</v>
      </c>
      <c r="I82" s="49"/>
    </row>
    <row r="83" ht="18" customHeight="1" spans="2:9">
      <c r="B83" s="44">
        <v>46037</v>
      </c>
      <c r="C83" s="45" t="str">
        <f t="shared" si="2"/>
        <v>Thu</v>
      </c>
      <c r="D83" s="46" t="s">
        <v>99</v>
      </c>
      <c r="E83" s="31">
        <v>200</v>
      </c>
      <c r="F83" s="47"/>
      <c r="G83" s="47"/>
      <c r="H83" s="48" t="str">
        <f t="shared" si="3"/>
        <v>Jan 2026</v>
      </c>
      <c r="I83" s="49"/>
    </row>
    <row r="84" ht="18" customHeight="1" spans="2:9">
      <c r="B84" s="44">
        <v>46037</v>
      </c>
      <c r="C84" s="45" t="str">
        <f t="shared" si="2"/>
        <v>Thu</v>
      </c>
      <c r="D84" s="46" t="s">
        <v>100</v>
      </c>
      <c r="E84" s="31">
        <v>100</v>
      </c>
      <c r="F84" s="47"/>
      <c r="G84" s="47"/>
      <c r="H84" s="48" t="str">
        <f t="shared" si="3"/>
        <v>Jan 2026</v>
      </c>
      <c r="I84" s="49"/>
    </row>
    <row r="85" ht="18" customHeight="1" spans="2:9">
      <c r="B85" s="44">
        <v>46037</v>
      </c>
      <c r="C85" s="45" t="str">
        <f t="shared" si="2"/>
        <v>Thu</v>
      </c>
      <c r="D85" s="46" t="s">
        <v>13</v>
      </c>
      <c r="E85" s="31">
        <v>200</v>
      </c>
      <c r="F85" s="47"/>
      <c r="G85" s="47"/>
      <c r="H85" s="48" t="str">
        <f t="shared" si="3"/>
        <v>Jan 2026</v>
      </c>
      <c r="I85" s="49"/>
    </row>
    <row r="86" ht="18" customHeight="1" spans="2:9">
      <c r="B86" s="44">
        <v>46037</v>
      </c>
      <c r="C86" s="45" t="str">
        <f t="shared" si="2"/>
        <v>Thu</v>
      </c>
      <c r="D86" s="46" t="s">
        <v>13</v>
      </c>
      <c r="E86" s="31">
        <v>20</v>
      </c>
      <c r="F86" s="47"/>
      <c r="G86" s="47"/>
      <c r="H86" s="48" t="str">
        <f t="shared" si="3"/>
        <v>Jan 2026</v>
      </c>
      <c r="I86" s="49"/>
    </row>
    <row r="87" ht="18" customHeight="1" spans="2:9">
      <c r="B87" s="44">
        <v>46037</v>
      </c>
      <c r="C87" s="45" t="str">
        <f t="shared" si="2"/>
        <v>Thu</v>
      </c>
      <c r="D87" s="46" t="s">
        <v>13</v>
      </c>
      <c r="E87" s="31">
        <v>50</v>
      </c>
      <c r="F87" s="47"/>
      <c r="G87" s="47"/>
      <c r="H87" s="48" t="str">
        <f t="shared" si="3"/>
        <v>Jan 2026</v>
      </c>
      <c r="I87" s="49"/>
    </row>
    <row r="88" ht="18" customHeight="1" spans="2:9">
      <c r="B88" s="44">
        <v>46037</v>
      </c>
      <c r="C88" s="45" t="str">
        <f t="shared" si="2"/>
        <v>Thu</v>
      </c>
      <c r="D88" s="46" t="s">
        <v>21</v>
      </c>
      <c r="E88" s="31">
        <v>50</v>
      </c>
      <c r="F88" s="47"/>
      <c r="G88" s="47"/>
      <c r="H88" s="48" t="str">
        <f t="shared" si="3"/>
        <v>Jan 2026</v>
      </c>
      <c r="I88" s="49"/>
    </row>
    <row r="89" ht="18" customHeight="1" spans="2:9">
      <c r="B89" s="44">
        <v>46037</v>
      </c>
      <c r="C89" s="45" t="str">
        <f t="shared" si="2"/>
        <v>Thu</v>
      </c>
      <c r="D89" s="46" t="s">
        <v>101</v>
      </c>
      <c r="E89" s="31">
        <v>105</v>
      </c>
      <c r="F89" s="47"/>
      <c r="G89" s="47"/>
      <c r="H89" s="48" t="str">
        <f t="shared" si="3"/>
        <v>Jan 2026</v>
      </c>
      <c r="I89" s="49"/>
    </row>
    <row r="90" ht="18" customHeight="1" spans="2:9">
      <c r="B90" s="44">
        <v>46037</v>
      </c>
      <c r="C90" s="45" t="str">
        <f t="shared" si="2"/>
        <v>Thu</v>
      </c>
      <c r="D90" s="46" t="s">
        <v>102</v>
      </c>
      <c r="E90" s="31">
        <v>300</v>
      </c>
      <c r="F90" s="47"/>
      <c r="G90" s="47"/>
      <c r="H90" s="48" t="str">
        <f t="shared" si="3"/>
        <v>Jan 2026</v>
      </c>
      <c r="I90" s="49"/>
    </row>
    <row r="91" ht="18" customHeight="1" spans="2:9">
      <c r="B91" s="44">
        <v>46037</v>
      </c>
      <c r="C91" s="45" t="str">
        <f t="shared" si="2"/>
        <v>Thu</v>
      </c>
      <c r="D91" s="46" t="s">
        <v>13</v>
      </c>
      <c r="E91" s="31">
        <v>20</v>
      </c>
      <c r="F91" s="47"/>
      <c r="G91" s="47"/>
      <c r="H91" s="48" t="str">
        <f t="shared" si="3"/>
        <v>Jan 2026</v>
      </c>
      <c r="I91" s="49"/>
    </row>
    <row r="92" ht="18" customHeight="1" spans="2:9">
      <c r="B92" s="44">
        <v>46037</v>
      </c>
      <c r="C92" s="45" t="str">
        <f t="shared" si="2"/>
        <v>Thu</v>
      </c>
      <c r="D92" s="46" t="s">
        <v>103</v>
      </c>
      <c r="E92" s="31">
        <v>10</v>
      </c>
      <c r="F92" s="47"/>
      <c r="G92" s="47"/>
      <c r="H92" s="48" t="str">
        <f t="shared" si="3"/>
        <v>Jan 2026</v>
      </c>
      <c r="I92" s="49"/>
    </row>
    <row r="93" ht="18" customHeight="1" spans="2:9">
      <c r="B93" s="44">
        <v>46037</v>
      </c>
      <c r="C93" s="45" t="str">
        <f t="shared" si="2"/>
        <v>Thu</v>
      </c>
      <c r="D93" s="46" t="s">
        <v>13</v>
      </c>
      <c r="E93" s="31">
        <v>100</v>
      </c>
      <c r="F93" s="47"/>
      <c r="G93" s="47"/>
      <c r="H93" s="48" t="str">
        <f t="shared" si="3"/>
        <v>Jan 2026</v>
      </c>
      <c r="I93" s="49"/>
    </row>
    <row r="94" ht="18" customHeight="1" spans="2:9">
      <c r="B94" s="44">
        <v>46037</v>
      </c>
      <c r="C94" s="45" t="str">
        <f t="shared" si="2"/>
        <v>Thu</v>
      </c>
      <c r="D94" s="46" t="s">
        <v>102</v>
      </c>
      <c r="E94" s="31">
        <v>200</v>
      </c>
      <c r="F94" s="47"/>
      <c r="G94" s="47"/>
      <c r="H94" s="48" t="str">
        <f t="shared" si="3"/>
        <v>Jan 2026</v>
      </c>
      <c r="I94" s="49"/>
    </row>
    <row r="95" ht="18" customHeight="1" spans="2:9">
      <c r="B95" s="44">
        <v>46037</v>
      </c>
      <c r="C95" s="45" t="str">
        <f t="shared" si="2"/>
        <v>Thu</v>
      </c>
      <c r="D95" s="46" t="s">
        <v>104</v>
      </c>
      <c r="E95" s="31">
        <v>50</v>
      </c>
      <c r="F95" s="47"/>
      <c r="G95" s="47"/>
      <c r="H95" s="48" t="str">
        <f t="shared" si="3"/>
        <v>Jan 2026</v>
      </c>
      <c r="I95" s="49"/>
    </row>
    <row r="96" ht="18" customHeight="1" spans="2:9">
      <c r="B96" s="44">
        <v>46038</v>
      </c>
      <c r="C96" s="45" t="str">
        <f t="shared" si="2"/>
        <v>Fri</v>
      </c>
      <c r="D96" s="46" t="s">
        <v>105</v>
      </c>
      <c r="E96" s="31">
        <v>250</v>
      </c>
      <c r="F96" s="47"/>
      <c r="G96" s="47"/>
      <c r="H96" s="48" t="str">
        <f t="shared" si="3"/>
        <v>Jan 2026</v>
      </c>
      <c r="I96" s="49"/>
    </row>
    <row r="97" ht="18" customHeight="1" spans="2:9">
      <c r="B97" s="44">
        <v>46039</v>
      </c>
      <c r="C97" s="45" t="str">
        <f t="shared" si="2"/>
        <v>Sat</v>
      </c>
      <c r="D97" s="46" t="s">
        <v>106</v>
      </c>
      <c r="E97" s="31">
        <v>50</v>
      </c>
      <c r="F97" s="47"/>
      <c r="G97" s="47"/>
      <c r="H97" s="48" t="str">
        <f t="shared" si="3"/>
        <v>Jan 2026</v>
      </c>
      <c r="I97" s="49"/>
    </row>
    <row r="98" ht="18" customHeight="1" spans="2:9">
      <c r="B98" s="44">
        <v>46040</v>
      </c>
      <c r="C98" s="45" t="str">
        <f t="shared" si="2"/>
        <v>Sun</v>
      </c>
      <c r="D98" s="46" t="s">
        <v>21</v>
      </c>
      <c r="E98" s="31">
        <v>50</v>
      </c>
      <c r="F98" s="47"/>
      <c r="G98" s="47"/>
      <c r="H98" s="48" t="str">
        <f t="shared" si="3"/>
        <v>Jan 2026</v>
      </c>
      <c r="I98" s="49"/>
    </row>
    <row r="99" ht="18" customHeight="1" spans="2:9">
      <c r="B99" s="44">
        <v>46041</v>
      </c>
      <c r="C99" s="45" t="str">
        <f t="shared" si="2"/>
        <v>Mon</v>
      </c>
      <c r="D99" s="46" t="s">
        <v>21</v>
      </c>
      <c r="E99" s="31">
        <v>50</v>
      </c>
      <c r="F99" s="47"/>
      <c r="G99" s="47"/>
      <c r="H99" s="48" t="str">
        <f t="shared" si="3"/>
        <v>Jan 2026</v>
      </c>
      <c r="I99" s="49"/>
    </row>
    <row r="100" ht="18" customHeight="1" spans="2:9">
      <c r="B100" s="44">
        <v>46042</v>
      </c>
      <c r="C100" s="45" t="str">
        <f t="shared" si="2"/>
        <v>Tue</v>
      </c>
      <c r="D100" s="46" t="s">
        <v>13</v>
      </c>
      <c r="E100" s="31">
        <v>260</v>
      </c>
      <c r="F100" s="47"/>
      <c r="G100" s="47"/>
      <c r="H100" s="48" t="str">
        <f t="shared" si="3"/>
        <v>Jan 2026</v>
      </c>
      <c r="I100" s="49"/>
    </row>
    <row r="101" ht="18" customHeight="1" spans="2:9">
      <c r="B101" s="44">
        <v>46043</v>
      </c>
      <c r="C101" s="45" t="str">
        <f t="shared" si="2"/>
        <v>Wed</v>
      </c>
      <c r="D101" s="46" t="s">
        <v>107</v>
      </c>
      <c r="E101" s="31">
        <v>50</v>
      </c>
      <c r="F101" s="47"/>
      <c r="G101" s="47"/>
      <c r="H101" s="48" t="str">
        <f t="shared" si="3"/>
        <v>Jan 2026</v>
      </c>
      <c r="I101" s="49"/>
    </row>
    <row r="102" ht="18" customHeight="1" spans="2:9">
      <c r="B102" s="44">
        <v>46044</v>
      </c>
      <c r="C102" s="45" t="str">
        <f t="shared" si="2"/>
        <v>Thu</v>
      </c>
      <c r="D102" s="46" t="s">
        <v>103</v>
      </c>
      <c r="E102" s="31">
        <v>5</v>
      </c>
      <c r="F102" s="47"/>
      <c r="G102" s="47"/>
      <c r="H102" s="48" t="str">
        <f t="shared" si="3"/>
        <v>Jan 2026</v>
      </c>
      <c r="I102" s="49"/>
    </row>
    <row r="103" ht="18" customHeight="1" spans="2:9">
      <c r="B103" s="44">
        <v>46045</v>
      </c>
      <c r="C103" s="45" t="str">
        <f t="shared" si="2"/>
        <v>Fri</v>
      </c>
      <c r="D103" s="46" t="s">
        <v>13</v>
      </c>
      <c r="E103" s="31">
        <v>60</v>
      </c>
      <c r="F103" s="47"/>
      <c r="G103" s="47"/>
      <c r="H103" s="48" t="str">
        <f t="shared" si="3"/>
        <v>Jan 2026</v>
      </c>
      <c r="I103" s="49"/>
    </row>
    <row r="104" ht="18" customHeight="1" spans="2:9">
      <c r="B104" s="44">
        <v>46046</v>
      </c>
      <c r="C104" s="45" t="str">
        <f t="shared" si="2"/>
        <v>Sat</v>
      </c>
      <c r="D104" s="46" t="s">
        <v>108</v>
      </c>
      <c r="E104" s="31">
        <v>630</v>
      </c>
      <c r="F104" s="47"/>
      <c r="G104" s="47"/>
      <c r="H104" s="48" t="str">
        <f t="shared" si="3"/>
        <v>Jan 2026</v>
      </c>
      <c r="I104" s="49"/>
    </row>
    <row r="105" ht="18" customHeight="1" spans="2:9">
      <c r="B105" s="44">
        <v>46048</v>
      </c>
      <c r="C105" s="45" t="str">
        <f>IF(B105="","",TEXT(B105,"ddd"))</f>
        <v>Mon</v>
      </c>
      <c r="D105" s="46" t="s">
        <v>109</v>
      </c>
      <c r="E105" s="31">
        <v>30</v>
      </c>
      <c r="F105" s="47"/>
      <c r="G105" s="47"/>
      <c r="H105" s="48" t="str">
        <f>IF(B105="","",TEXT(B105,"mmm yyyy"))</f>
        <v>Jan 2026</v>
      </c>
      <c r="I105" s="49"/>
    </row>
    <row r="106" ht="18" customHeight="1" spans="2:9">
      <c r="B106" s="44">
        <v>46049</v>
      </c>
      <c r="C106" s="45" t="str">
        <f>IF(B106="","",TEXT(B106,"ddd"))</f>
        <v>Tue</v>
      </c>
      <c r="D106" s="46" t="s">
        <v>110</v>
      </c>
      <c r="E106" s="31">
        <v>200</v>
      </c>
      <c r="F106" s="47"/>
      <c r="G106" s="47"/>
      <c r="H106" s="48" t="str">
        <f>IF(B106="","",TEXT(B106,"mmm yyyy"))</f>
        <v>Jan 2026</v>
      </c>
      <c r="I106" s="49"/>
    </row>
    <row r="107" ht="18" customHeight="1" spans="2:9">
      <c r="B107" s="44">
        <v>46050</v>
      </c>
      <c r="C107" s="45" t="str">
        <f>IF(B107="","",TEXT(B107,"ddd"))</f>
        <v>Wed</v>
      </c>
      <c r="D107" s="46" t="s">
        <v>111</v>
      </c>
      <c r="E107" s="31">
        <v>100</v>
      </c>
      <c r="F107" s="47"/>
      <c r="G107" s="47"/>
      <c r="H107" s="48" t="str">
        <f>IF(B107="","",TEXT(B107,"mmm yyyy"))</f>
        <v>Jan 2026</v>
      </c>
      <c r="I107" s="49"/>
    </row>
    <row r="108" ht="18" customHeight="1" spans="2:9">
      <c r="B108" s="44">
        <v>46051</v>
      </c>
      <c r="C108" s="45" t="str">
        <f>IF(B108="","",TEXT(B108,"ddd"))</f>
        <v>Thu</v>
      </c>
      <c r="D108" s="46" t="s">
        <v>13</v>
      </c>
      <c r="E108" s="31">
        <v>20</v>
      </c>
      <c r="F108" s="47"/>
      <c r="G108" s="47"/>
      <c r="H108" s="48" t="str">
        <f>IF(B108="","",TEXT(B108,"mmm yyyy"))</f>
        <v>Jan 2026</v>
      </c>
      <c r="I108" s="49"/>
    </row>
    <row r="109" ht="18" customHeight="1" spans="2:9">
      <c r="B109" s="44">
        <v>46052</v>
      </c>
      <c r="C109" s="45" t="str">
        <f>IF(B109="","",TEXT(B109,"ddd"))</f>
        <v>Fri</v>
      </c>
      <c r="D109" s="46" t="s">
        <v>112</v>
      </c>
      <c r="E109" s="31">
        <v>100</v>
      </c>
      <c r="F109" s="47"/>
      <c r="G109" s="47"/>
      <c r="H109" s="48" t="str">
        <f>IF(B109="","",TEXT(B109,"mmm yyyy"))</f>
        <v>Jan 2026</v>
      </c>
      <c r="I109" s="49"/>
    </row>
    <row r="110" ht="18" customHeight="1" spans="2:9">
      <c r="B110" s="44">
        <v>46053</v>
      </c>
      <c r="C110" s="45" t="str">
        <f>IF(B110="","",TEXT(B110,"ddd"))</f>
        <v>Sat</v>
      </c>
      <c r="D110" s="46" t="s">
        <v>113</v>
      </c>
      <c r="E110" s="31">
        <v>1500</v>
      </c>
      <c r="F110" s="47"/>
      <c r="G110" s="47"/>
      <c r="H110" s="48" t="str">
        <f>IF(B110="","",TEXT(B110,"mmm yyyy"))</f>
        <v>Jan 2026</v>
      </c>
      <c r="I110" s="49"/>
    </row>
    <row r="111" ht="18" customHeight="1" spans="2:9">
      <c r="B111" s="44">
        <v>46054</v>
      </c>
      <c r="C111" s="45" t="str">
        <f>IF(B111="","",TEXT(B111,"ddd"))</f>
        <v>Sun</v>
      </c>
      <c r="D111" s="46" t="s">
        <v>13</v>
      </c>
      <c r="E111" s="31">
        <v>20</v>
      </c>
      <c r="F111" s="47"/>
      <c r="G111" s="47"/>
      <c r="H111" s="48" t="str">
        <f>IF(B111="","",TEXT(B111,"mmm yyyy"))</f>
        <v>Feb 2026</v>
      </c>
      <c r="I111" s="49"/>
    </row>
    <row r="112" ht="18" customHeight="1" spans="2:9">
      <c r="B112" s="44">
        <v>46055</v>
      </c>
      <c r="C112" s="45" t="str">
        <f>IF(B112="","",TEXT(B112,"ddd"))</f>
        <v>Mon</v>
      </c>
      <c r="D112" s="46" t="s">
        <v>102</v>
      </c>
      <c r="E112" s="31">
        <v>300</v>
      </c>
      <c r="F112" s="47"/>
      <c r="G112" s="47"/>
      <c r="H112" s="48" t="str">
        <f>IF(B112="","",TEXT(B112,"mmm yyyy"))</f>
        <v>Feb 2026</v>
      </c>
      <c r="I112" s="49"/>
    </row>
    <row r="113" ht="18" customHeight="1" spans="2:9">
      <c r="B113" s="44">
        <v>46056</v>
      </c>
      <c r="C113" s="45" t="str">
        <f>IF(B113="","",TEXT(B113,"ddd"))</f>
        <v>Tue</v>
      </c>
      <c r="D113" s="46" t="s">
        <v>13</v>
      </c>
      <c r="E113" s="31">
        <v>20</v>
      </c>
      <c r="F113" s="47"/>
      <c r="G113" s="47"/>
      <c r="H113" s="48" t="str">
        <f>IF(B113="","",TEXT(B113,"mmm yyyy"))</f>
        <v>Feb 2026</v>
      </c>
      <c r="I113" s="49"/>
    </row>
    <row r="114" ht="18" customHeight="1" spans="2:9">
      <c r="B114" s="44">
        <v>46057</v>
      </c>
      <c r="C114" s="45" t="str">
        <f>IF(B114="","",TEXT(B114,"ddd"))</f>
        <v>Wed</v>
      </c>
      <c r="D114" s="46" t="s">
        <v>13</v>
      </c>
      <c r="E114" s="31">
        <v>40</v>
      </c>
      <c r="F114" s="47"/>
      <c r="G114" s="47"/>
      <c r="H114" s="48" t="str">
        <f>IF(B114="","",TEXT(B114,"mmm yyyy"))</f>
        <v>Feb 2026</v>
      </c>
      <c r="I114" s="49"/>
    </row>
    <row r="115" ht="18" customHeight="1" spans="2:9">
      <c r="B115" s="44">
        <v>46058</v>
      </c>
      <c r="C115" s="45" t="str">
        <f>IF(B115="","",TEXT(B115,"ddd"))</f>
        <v>Thu</v>
      </c>
      <c r="D115" s="46" t="s">
        <v>13</v>
      </c>
      <c r="E115" s="31">
        <v>80</v>
      </c>
      <c r="F115" s="47"/>
      <c r="G115" s="47"/>
      <c r="H115" s="48" t="str">
        <f>IF(B115="","",TEXT(B115,"mmm yyyy"))</f>
        <v>Feb 2026</v>
      </c>
      <c r="I115" s="49"/>
    </row>
    <row r="116" ht="18" customHeight="1" spans="2:9">
      <c r="B116" s="44">
        <v>46059</v>
      </c>
      <c r="C116" s="45" t="str">
        <f>IF(B116="","",TEXT(B116,"ddd"))</f>
        <v>Fri</v>
      </c>
      <c r="D116" s="46" t="s">
        <v>114</v>
      </c>
      <c r="E116" s="31">
        <v>20</v>
      </c>
      <c r="F116" s="47"/>
      <c r="G116" s="47"/>
      <c r="H116" s="48" t="str">
        <f>IF(B116="","",TEXT(B116,"mmm yyyy"))</f>
        <v>Feb 2026</v>
      </c>
      <c r="I116" s="49"/>
    </row>
    <row r="117" ht="18" customHeight="1" spans="2:9">
      <c r="B117" s="44">
        <v>46060</v>
      </c>
      <c r="C117" s="45" t="str">
        <f>IF(B117="","",TEXT(B117,"ddd"))</f>
        <v>Sat</v>
      </c>
      <c r="D117" s="46" t="s">
        <v>115</v>
      </c>
      <c r="E117" s="31">
        <v>180</v>
      </c>
      <c r="F117" s="47"/>
      <c r="G117" s="47"/>
      <c r="H117" s="48" t="str">
        <f>IF(B117="","",TEXT(B117,"mmm yyyy"))</f>
        <v>Feb 2026</v>
      </c>
      <c r="I117" s="49"/>
    </row>
    <row r="118" ht="18" customHeight="1" spans="2:9">
      <c r="B118" s="44">
        <v>46061</v>
      </c>
      <c r="C118" s="45" t="str">
        <f>IF(B118="","",TEXT(B118,"ddd"))</f>
        <v>Sun</v>
      </c>
      <c r="D118" s="46" t="s">
        <v>116</v>
      </c>
      <c r="E118" s="31">
        <v>20</v>
      </c>
      <c r="F118" s="47"/>
      <c r="G118" s="47"/>
      <c r="H118" s="48" t="str">
        <f>IF(B118="","",TEXT(B118,"mmm yyyy"))</f>
        <v>Feb 2026</v>
      </c>
      <c r="I118" s="49"/>
    </row>
    <row r="119" ht="18" customHeight="1" spans="2:9">
      <c r="B119" s="44">
        <v>46062</v>
      </c>
      <c r="C119" s="45" t="str">
        <f>IF(B119="","",TEXT(B119,"ddd"))</f>
        <v>Mon</v>
      </c>
      <c r="D119" s="46" t="s">
        <v>117</v>
      </c>
      <c r="E119" s="31">
        <v>60</v>
      </c>
      <c r="F119" s="47"/>
      <c r="G119" s="47"/>
      <c r="H119" s="48" t="str">
        <f>IF(B119="","",TEXT(B119,"mmm yyyy"))</f>
        <v>Feb 2026</v>
      </c>
      <c r="I119" s="49"/>
    </row>
    <row r="120" ht="18" customHeight="1" spans="2:9">
      <c r="B120" s="44">
        <v>46063</v>
      </c>
      <c r="C120" s="45" t="str">
        <f>IF(B120="","",TEXT(B120,"ddd"))</f>
        <v>Tue</v>
      </c>
      <c r="D120" s="46" t="s">
        <v>13</v>
      </c>
      <c r="E120" s="31">
        <v>100</v>
      </c>
      <c r="F120" s="47"/>
      <c r="G120" s="47"/>
      <c r="H120" s="48" t="str">
        <f>IF(B120="","",TEXT(B120,"mmm yyyy"))</f>
        <v>Feb 2026</v>
      </c>
      <c r="I120" s="49"/>
    </row>
    <row r="121" ht="18" customHeight="1" spans="2:9">
      <c r="B121" s="44">
        <v>46064</v>
      </c>
      <c r="C121" s="45" t="str">
        <f>IF(B121="","",TEXT(B121,"ddd"))</f>
        <v>Wed</v>
      </c>
      <c r="D121" s="46" t="s">
        <v>118</v>
      </c>
      <c r="E121" s="31">
        <v>170</v>
      </c>
      <c r="F121" s="47"/>
      <c r="G121" s="47"/>
      <c r="H121" s="48" t="str">
        <f>IF(B121="","",TEXT(B121,"mmm yyyy"))</f>
        <v>Feb 2026</v>
      </c>
      <c r="I121" s="49"/>
    </row>
    <row r="122" ht="18" customHeight="1" spans="2:9">
      <c r="B122" s="44">
        <v>46065</v>
      </c>
      <c r="C122" s="45" t="str">
        <f>IF(B122="","",TEXT(B122,"ddd"))</f>
        <v>Thu</v>
      </c>
      <c r="D122" s="46" t="s">
        <v>119</v>
      </c>
      <c r="E122" s="31">
        <v>75</v>
      </c>
      <c r="F122" s="47"/>
      <c r="G122" s="47"/>
      <c r="H122" s="48" t="str">
        <f>IF(B122="","",TEXT(B122,"mmm yyyy"))</f>
        <v>Feb 2026</v>
      </c>
      <c r="I122" s="49"/>
    </row>
    <row r="123" ht="18" customHeight="1" spans="2:9">
      <c r="B123" s="44">
        <v>46066</v>
      </c>
      <c r="C123" s="45" t="str">
        <f>IF(B123="","",TEXT(B123,"ddd"))</f>
        <v>Fri</v>
      </c>
      <c r="D123" s="46" t="s">
        <v>93</v>
      </c>
      <c r="E123" s="31">
        <v>15</v>
      </c>
      <c r="F123" s="47"/>
      <c r="G123" s="47"/>
      <c r="H123" s="48" t="str">
        <f>IF(B123="","",TEXT(B123,"mmm yyyy"))</f>
        <v>Feb 2026</v>
      </c>
      <c r="I123" s="49"/>
    </row>
    <row r="124" ht="18" customHeight="1" spans="2:9">
      <c r="B124" s="44">
        <v>46067</v>
      </c>
      <c r="C124" s="45" t="str">
        <f>IF(B124="","",TEXT(B124,"ddd"))</f>
        <v>Sat</v>
      </c>
      <c r="D124" s="46" t="s">
        <v>120</v>
      </c>
      <c r="E124" s="31">
        <v>80</v>
      </c>
      <c r="F124" s="47"/>
      <c r="G124" s="47"/>
      <c r="H124" s="48" t="str">
        <f>IF(B124="","",TEXT(B124,"mmm yyyy"))</f>
        <v>Feb 2026</v>
      </c>
      <c r="I124" s="49"/>
    </row>
    <row r="125" ht="18" customHeight="1" spans="2:9">
      <c r="B125" s="44">
        <v>46068</v>
      </c>
      <c r="C125" s="45" t="str">
        <f>IF(B125="","",TEXT(B125,"ddd"))</f>
        <v>Sun</v>
      </c>
      <c r="D125" s="46" t="s">
        <v>13</v>
      </c>
      <c r="E125" s="31">
        <v>120</v>
      </c>
      <c r="F125" s="47"/>
      <c r="G125" s="47"/>
      <c r="H125" s="48" t="str">
        <f>IF(B125="","",TEXT(B125,"mmm yyyy"))</f>
        <v>Feb 2026</v>
      </c>
      <c r="I125" s="49"/>
    </row>
    <row r="126" ht="18" customHeight="1" spans="2:9">
      <c r="B126" s="44">
        <v>46069</v>
      </c>
      <c r="C126" s="45" t="str">
        <f>IF(B126="","",TEXT(B126,"ddd"))</f>
        <v>Mon</v>
      </c>
      <c r="D126" s="46" t="s">
        <v>121</v>
      </c>
      <c r="E126" s="31">
        <v>200</v>
      </c>
      <c r="F126" s="47"/>
      <c r="G126" s="47"/>
      <c r="H126" s="48" t="str">
        <f>IF(B126="","",TEXT(B126,"mmm yyyy"))</f>
        <v>Feb 2026</v>
      </c>
      <c r="I126" s="49"/>
    </row>
    <row r="127" ht="18" customHeight="1" spans="2:9">
      <c r="B127" s="44">
        <v>46070</v>
      </c>
      <c r="C127" s="45" t="str">
        <f>IF(B127="","",TEXT(B127,"ddd"))</f>
        <v>Tue</v>
      </c>
      <c r="D127" s="46" t="s">
        <v>122</v>
      </c>
      <c r="E127" s="31">
        <v>140</v>
      </c>
      <c r="F127" s="47"/>
      <c r="G127" s="47"/>
      <c r="H127" s="48" t="str">
        <f>IF(B127="","",TEXT(B127,"mmm yyyy"))</f>
        <v>Feb 2026</v>
      </c>
      <c r="I127" s="49"/>
    </row>
    <row r="128" ht="18" customHeight="1" spans="2:9">
      <c r="B128" s="44">
        <v>46071</v>
      </c>
      <c r="C128" s="45" t="str">
        <f>IF(B128="","",TEXT(B128,"ddd"))</f>
        <v>Wed</v>
      </c>
      <c r="D128" s="46" t="s">
        <v>13</v>
      </c>
      <c r="E128" s="31">
        <v>20</v>
      </c>
      <c r="F128" s="47"/>
      <c r="G128" s="47"/>
      <c r="H128" s="48" t="str">
        <f>IF(B128="","",TEXT(B128,"mmm yyyy"))</f>
        <v>Feb 2026</v>
      </c>
      <c r="I128" s="49"/>
    </row>
    <row r="129" ht="18" customHeight="1" spans="2:9">
      <c r="B129" s="44">
        <v>46072</v>
      </c>
      <c r="C129" s="45" t="str">
        <f>IF(B129="","",TEXT(B129,"ddd"))</f>
        <v>Thu</v>
      </c>
      <c r="D129" s="46" t="s">
        <v>21</v>
      </c>
      <c r="E129" s="31">
        <v>50</v>
      </c>
      <c r="F129" s="47"/>
      <c r="G129" s="47"/>
      <c r="H129" s="48" t="str">
        <f>IF(B129="","",TEXT(B129,"mmm yyyy"))</f>
        <v>Feb 2026</v>
      </c>
      <c r="I129" s="49"/>
    </row>
    <row r="130" ht="18" customHeight="1" spans="2:9">
      <c r="B130" s="44">
        <v>46073</v>
      </c>
      <c r="C130" s="45" t="str">
        <f>IF(B130="","",TEXT(B130,"ddd"))</f>
        <v>Fri</v>
      </c>
      <c r="D130" s="46" t="s">
        <v>13</v>
      </c>
      <c r="E130" s="31">
        <v>40</v>
      </c>
      <c r="F130" s="47"/>
      <c r="G130" s="47"/>
      <c r="H130" s="48" t="str">
        <f>IF(B130="","",TEXT(B130,"mmm yyyy"))</f>
        <v>Feb 2026</v>
      </c>
      <c r="I130" s="49"/>
    </row>
    <row r="131" ht="18" customHeight="1" spans="2:9">
      <c r="B131" s="44">
        <v>46074</v>
      </c>
      <c r="C131" s="45" t="str">
        <f>IF(B131="","",TEXT(B131,"ddd"))</f>
        <v>Sat</v>
      </c>
      <c r="D131" s="46" t="s">
        <v>123</v>
      </c>
      <c r="E131" s="31">
        <v>140</v>
      </c>
      <c r="F131" s="47"/>
      <c r="G131" s="47"/>
      <c r="H131" s="48" t="str">
        <f>IF(B131="","",TEXT(B131,"mmm yyyy"))</f>
        <v>Feb 2026</v>
      </c>
      <c r="I131" s="49"/>
    </row>
    <row r="132" ht="18" customHeight="1" spans="2:9">
      <c r="B132" s="44">
        <v>46076</v>
      </c>
      <c r="C132" s="45" t="str">
        <f t="shared" ref="C132:C186" si="4">IF(B132="","",TEXT(B132,"ddd"))</f>
        <v>Mon</v>
      </c>
      <c r="D132" s="46" t="s">
        <v>124</v>
      </c>
      <c r="E132" s="31">
        <v>260</v>
      </c>
      <c r="F132" s="47"/>
      <c r="G132" s="47"/>
      <c r="H132" s="48" t="str">
        <f t="shared" ref="H132:H186" si="5">IF(B132="","",TEXT(B132,"mmm yyyy"))</f>
        <v>Feb 2026</v>
      </c>
      <c r="I132" s="49"/>
    </row>
    <row r="133" ht="18" customHeight="1" spans="2:9">
      <c r="B133" s="44">
        <v>46077</v>
      </c>
      <c r="C133" s="45" t="str">
        <f t="shared" si="4"/>
        <v>Tue</v>
      </c>
      <c r="D133" s="46" t="s">
        <v>125</v>
      </c>
      <c r="E133" s="31">
        <v>5</v>
      </c>
      <c r="F133" s="47"/>
      <c r="G133" s="47"/>
      <c r="H133" s="48" t="str">
        <f t="shared" si="5"/>
        <v>Feb 2026</v>
      </c>
      <c r="I133" s="49"/>
    </row>
    <row r="134" ht="18" customHeight="1" spans="2:9">
      <c r="B134" s="44">
        <v>46078</v>
      </c>
      <c r="C134" s="45" t="str">
        <f t="shared" si="4"/>
        <v>Wed</v>
      </c>
      <c r="D134" s="46" t="s">
        <v>126</v>
      </c>
      <c r="E134" s="31">
        <v>20</v>
      </c>
      <c r="F134" s="47"/>
      <c r="G134" s="47"/>
      <c r="H134" s="48" t="str">
        <f t="shared" si="5"/>
        <v>Feb 2026</v>
      </c>
      <c r="I134" s="49"/>
    </row>
    <row r="135" ht="18" customHeight="1" spans="2:9">
      <c r="B135" s="44">
        <v>46078</v>
      </c>
      <c r="C135" s="45" t="str">
        <f t="shared" si="4"/>
        <v>Wed</v>
      </c>
      <c r="D135" s="46" t="s">
        <v>127</v>
      </c>
      <c r="E135" s="31">
        <v>200</v>
      </c>
      <c r="F135" s="47"/>
      <c r="G135" s="47"/>
      <c r="H135" s="48" t="str">
        <f t="shared" si="5"/>
        <v>Feb 2026</v>
      </c>
      <c r="I135" s="49"/>
    </row>
    <row r="136" ht="18" customHeight="1" spans="2:9">
      <c r="B136" s="44">
        <v>46078</v>
      </c>
      <c r="C136" s="45" t="str">
        <f t="shared" si="4"/>
        <v>Wed</v>
      </c>
      <c r="D136" s="46" t="s">
        <v>128</v>
      </c>
      <c r="E136" s="31">
        <v>20</v>
      </c>
      <c r="F136" s="47"/>
      <c r="G136" s="47"/>
      <c r="H136" s="48" t="str">
        <f t="shared" si="5"/>
        <v>Feb 2026</v>
      </c>
      <c r="I136" s="49"/>
    </row>
    <row r="137" ht="18" customHeight="1" spans="2:9">
      <c r="B137" s="44">
        <v>46078</v>
      </c>
      <c r="C137" s="45" t="str">
        <f t="shared" si="4"/>
        <v>Wed</v>
      </c>
      <c r="D137" s="46" t="s">
        <v>129</v>
      </c>
      <c r="E137" s="31">
        <v>110</v>
      </c>
      <c r="F137" s="47"/>
      <c r="G137" s="47"/>
      <c r="H137" s="48" t="str">
        <f t="shared" si="5"/>
        <v>Feb 2026</v>
      </c>
      <c r="I137" s="49"/>
    </row>
    <row r="138" ht="18" customHeight="1" spans="2:9">
      <c r="B138" s="44">
        <v>46078</v>
      </c>
      <c r="C138" s="45" t="str">
        <f t="shared" si="4"/>
        <v>Wed</v>
      </c>
      <c r="D138" s="46" t="s">
        <v>130</v>
      </c>
      <c r="E138" s="31">
        <v>20</v>
      </c>
      <c r="F138" s="47"/>
      <c r="G138" s="47"/>
      <c r="H138" s="48" t="str">
        <f t="shared" si="5"/>
        <v>Feb 2026</v>
      </c>
      <c r="I138" s="49"/>
    </row>
    <row r="139" ht="18" customHeight="1" spans="2:9">
      <c r="B139" s="44">
        <v>46078</v>
      </c>
      <c r="C139" s="45" t="str">
        <f t="shared" si="4"/>
        <v>Wed</v>
      </c>
      <c r="D139" s="46" t="s">
        <v>126</v>
      </c>
      <c r="E139" s="31">
        <v>10</v>
      </c>
      <c r="F139" s="47"/>
      <c r="G139" s="47"/>
      <c r="H139" s="48" t="str">
        <f t="shared" si="5"/>
        <v>Feb 2026</v>
      </c>
      <c r="I139" s="49"/>
    </row>
    <row r="140" ht="18" customHeight="1" spans="2:9">
      <c r="B140" s="44">
        <v>46078</v>
      </c>
      <c r="C140" s="45" t="str">
        <f t="shared" si="4"/>
        <v>Wed</v>
      </c>
      <c r="D140" s="46" t="s">
        <v>36</v>
      </c>
      <c r="E140" s="31">
        <v>1155</v>
      </c>
      <c r="F140" s="47"/>
      <c r="G140" s="47"/>
      <c r="H140" s="48" t="str">
        <f t="shared" si="5"/>
        <v>Feb 2026</v>
      </c>
      <c r="I140" s="49"/>
    </row>
    <row r="141" ht="18" customHeight="1" spans="2:9">
      <c r="B141" s="44">
        <v>46078</v>
      </c>
      <c r="C141" s="45" t="str">
        <f t="shared" si="4"/>
        <v>Wed</v>
      </c>
      <c r="D141" s="46" t="s">
        <v>13</v>
      </c>
      <c r="E141" s="31">
        <v>20</v>
      </c>
      <c r="F141" s="47"/>
      <c r="G141" s="47"/>
      <c r="H141" s="48" t="str">
        <f t="shared" si="5"/>
        <v>Feb 2026</v>
      </c>
      <c r="I141" s="49"/>
    </row>
    <row r="142" ht="18" customHeight="1" spans="2:9">
      <c r="B142" s="44">
        <v>46078</v>
      </c>
      <c r="C142" s="45" t="str">
        <f t="shared" si="4"/>
        <v>Wed</v>
      </c>
      <c r="D142" s="46" t="s">
        <v>131</v>
      </c>
      <c r="E142" s="31">
        <v>20</v>
      </c>
      <c r="F142" s="47"/>
      <c r="G142" s="47"/>
      <c r="H142" s="48" t="str">
        <f t="shared" si="5"/>
        <v>Feb 2026</v>
      </c>
      <c r="I142" s="49"/>
    </row>
    <row r="143" ht="18" customHeight="1" spans="2:9">
      <c r="B143" s="44">
        <v>46078</v>
      </c>
      <c r="C143" s="45" t="str">
        <f t="shared" si="4"/>
        <v>Wed</v>
      </c>
      <c r="D143" s="46" t="s">
        <v>126</v>
      </c>
      <c r="E143" s="31">
        <v>20</v>
      </c>
      <c r="F143" s="47"/>
      <c r="G143" s="47"/>
      <c r="H143" s="48" t="str">
        <f t="shared" si="5"/>
        <v>Feb 2026</v>
      </c>
      <c r="I143" s="49"/>
    </row>
    <row r="144" ht="18" customHeight="1" spans="2:9">
      <c r="B144" s="44">
        <v>46078</v>
      </c>
      <c r="C144" s="45" t="str">
        <f t="shared" si="4"/>
        <v>Wed</v>
      </c>
      <c r="D144" s="46" t="s">
        <v>132</v>
      </c>
      <c r="E144" s="31">
        <v>300</v>
      </c>
      <c r="F144" s="47"/>
      <c r="G144" s="47"/>
      <c r="H144" s="48" t="str">
        <f t="shared" si="5"/>
        <v>Feb 2026</v>
      </c>
      <c r="I144" s="49"/>
    </row>
    <row r="145" ht="18" customHeight="1" spans="2:9">
      <c r="B145" s="44">
        <v>46078</v>
      </c>
      <c r="C145" s="45" t="str">
        <f t="shared" si="4"/>
        <v>Wed</v>
      </c>
      <c r="D145" s="46" t="s">
        <v>133</v>
      </c>
      <c r="E145" s="31">
        <v>10</v>
      </c>
      <c r="F145" s="47"/>
      <c r="G145" s="47"/>
      <c r="H145" s="48" t="str">
        <f t="shared" si="5"/>
        <v>Feb 2026</v>
      </c>
      <c r="I145" s="49"/>
    </row>
    <row r="146" ht="18" customHeight="1" spans="2:9">
      <c r="B146" s="44">
        <v>46078</v>
      </c>
      <c r="C146" s="45" t="str">
        <f t="shared" si="4"/>
        <v>Wed</v>
      </c>
      <c r="D146" s="46" t="s">
        <v>134</v>
      </c>
      <c r="E146" s="31">
        <v>1380</v>
      </c>
      <c r="F146" s="47"/>
      <c r="G146" s="47"/>
      <c r="H146" s="48" t="str">
        <f t="shared" si="5"/>
        <v>Feb 2026</v>
      </c>
      <c r="I146" s="49"/>
    </row>
    <row r="147" ht="18" customHeight="1" spans="2:9">
      <c r="B147" s="44">
        <v>46078</v>
      </c>
      <c r="C147" s="45" t="str">
        <f t="shared" si="4"/>
        <v>Wed</v>
      </c>
      <c r="D147" s="46" t="s">
        <v>135</v>
      </c>
      <c r="E147" s="31">
        <v>10</v>
      </c>
      <c r="F147" s="47"/>
      <c r="G147" s="47"/>
      <c r="H147" s="48" t="str">
        <f t="shared" si="5"/>
        <v>Feb 2026</v>
      </c>
      <c r="I147" s="49"/>
    </row>
    <row r="148" ht="18" customHeight="1" spans="2:9">
      <c r="B148" s="44">
        <v>46078</v>
      </c>
      <c r="C148" s="45" t="str">
        <f t="shared" si="4"/>
        <v>Wed</v>
      </c>
      <c r="D148" s="46" t="s">
        <v>13</v>
      </c>
      <c r="E148" s="31">
        <v>80</v>
      </c>
      <c r="F148" s="47"/>
      <c r="G148" s="47"/>
      <c r="H148" s="48" t="str">
        <f t="shared" si="5"/>
        <v>Feb 2026</v>
      </c>
      <c r="I148" s="49"/>
    </row>
    <row r="149" ht="18" customHeight="1" spans="2:9">
      <c r="B149" s="44">
        <v>46078</v>
      </c>
      <c r="C149" s="45" t="str">
        <f t="shared" si="4"/>
        <v>Wed</v>
      </c>
      <c r="D149" s="46" t="s">
        <v>13</v>
      </c>
      <c r="E149" s="31">
        <v>70</v>
      </c>
      <c r="F149" s="47"/>
      <c r="G149" s="47"/>
      <c r="H149" s="48" t="str">
        <f t="shared" si="5"/>
        <v>Feb 2026</v>
      </c>
      <c r="I149" s="49"/>
    </row>
    <row r="150" ht="18" customHeight="1" spans="2:9">
      <c r="B150" s="44">
        <v>46078</v>
      </c>
      <c r="C150" s="45" t="str">
        <f t="shared" si="4"/>
        <v>Wed</v>
      </c>
      <c r="D150" s="46" t="s">
        <v>103</v>
      </c>
      <c r="E150" s="31">
        <v>5</v>
      </c>
      <c r="F150" s="47"/>
      <c r="G150" s="47"/>
      <c r="H150" s="48" t="str">
        <f t="shared" si="5"/>
        <v>Feb 2026</v>
      </c>
      <c r="I150" s="49"/>
    </row>
    <row r="151" ht="18" customHeight="1" spans="2:9">
      <c r="B151" s="44">
        <v>46078</v>
      </c>
      <c r="C151" s="45" t="str">
        <f t="shared" si="4"/>
        <v>Wed</v>
      </c>
      <c r="D151" s="46" t="s">
        <v>21</v>
      </c>
      <c r="E151" s="31">
        <v>50</v>
      </c>
      <c r="F151" s="47"/>
      <c r="G151" s="47"/>
      <c r="H151" s="48" t="str">
        <f t="shared" si="5"/>
        <v>Feb 2026</v>
      </c>
      <c r="I151" s="49"/>
    </row>
    <row r="152" ht="18" customHeight="1" spans="2:9">
      <c r="B152" s="44">
        <v>46078</v>
      </c>
      <c r="C152" s="45" t="str">
        <f t="shared" si="4"/>
        <v>Wed</v>
      </c>
      <c r="D152" s="46" t="s">
        <v>136</v>
      </c>
      <c r="E152" s="31">
        <v>110</v>
      </c>
      <c r="F152" s="47"/>
      <c r="G152" s="47"/>
      <c r="H152" s="48" t="str">
        <f t="shared" si="5"/>
        <v>Feb 2026</v>
      </c>
      <c r="I152" s="49"/>
    </row>
    <row r="153" ht="18" customHeight="1" spans="2:9">
      <c r="B153" s="44">
        <v>46078</v>
      </c>
      <c r="C153" s="45" t="str">
        <f t="shared" si="4"/>
        <v>Wed</v>
      </c>
      <c r="D153" s="46" t="s">
        <v>31</v>
      </c>
      <c r="E153" s="31">
        <v>250</v>
      </c>
      <c r="F153" s="47"/>
      <c r="G153" s="47"/>
      <c r="H153" s="48" t="str">
        <f t="shared" si="5"/>
        <v>Feb 2026</v>
      </c>
      <c r="I153" s="49"/>
    </row>
    <row r="154" ht="18" customHeight="1" spans="2:9">
      <c r="B154" s="44">
        <v>46078</v>
      </c>
      <c r="C154" s="45" t="str">
        <f t="shared" si="4"/>
        <v>Wed</v>
      </c>
      <c r="D154" s="46" t="s">
        <v>13</v>
      </c>
      <c r="E154" s="31">
        <v>20</v>
      </c>
      <c r="F154" s="47"/>
      <c r="G154" s="47"/>
      <c r="H154" s="48" t="str">
        <f t="shared" si="5"/>
        <v>Feb 2026</v>
      </c>
      <c r="I154" s="49"/>
    </row>
    <row r="155" ht="18" customHeight="1" spans="2:9">
      <c r="B155" s="44">
        <v>46078</v>
      </c>
      <c r="C155" s="45" t="str">
        <f t="shared" si="4"/>
        <v>Wed</v>
      </c>
      <c r="D155" s="46" t="s">
        <v>137</v>
      </c>
      <c r="E155" s="31">
        <v>90</v>
      </c>
      <c r="F155" s="47"/>
      <c r="G155" s="47"/>
      <c r="H155" s="48" t="str">
        <f t="shared" si="5"/>
        <v>Feb 2026</v>
      </c>
      <c r="I155" s="49"/>
    </row>
    <row r="156" ht="18" customHeight="1" spans="2:9">
      <c r="B156" s="44">
        <v>46078</v>
      </c>
      <c r="C156" s="45" t="str">
        <f t="shared" si="4"/>
        <v>Wed</v>
      </c>
      <c r="D156" s="46" t="s">
        <v>13</v>
      </c>
      <c r="E156" s="31">
        <v>25</v>
      </c>
      <c r="F156" s="47"/>
      <c r="G156" s="47"/>
      <c r="H156" s="48" t="str">
        <f t="shared" si="5"/>
        <v>Feb 2026</v>
      </c>
      <c r="I156" s="49"/>
    </row>
    <row r="157" ht="18" customHeight="1" spans="2:9">
      <c r="B157" s="44">
        <v>46078</v>
      </c>
      <c r="C157" s="45" t="str">
        <f t="shared" si="4"/>
        <v>Wed</v>
      </c>
      <c r="D157" s="46" t="s">
        <v>13</v>
      </c>
      <c r="E157" s="31">
        <v>110</v>
      </c>
      <c r="F157" s="47"/>
      <c r="G157" s="47"/>
      <c r="H157" s="48" t="str">
        <f t="shared" si="5"/>
        <v>Feb 2026</v>
      </c>
      <c r="I157" s="49"/>
    </row>
    <row r="158" ht="18" customHeight="1" spans="2:9">
      <c r="B158" s="44">
        <v>46078</v>
      </c>
      <c r="C158" s="45" t="str">
        <f t="shared" si="4"/>
        <v>Wed</v>
      </c>
      <c r="D158" s="46" t="s">
        <v>70</v>
      </c>
      <c r="E158" s="31">
        <v>10</v>
      </c>
      <c r="F158" s="47"/>
      <c r="G158" s="47"/>
      <c r="H158" s="48" t="str">
        <f t="shared" si="5"/>
        <v>Feb 2026</v>
      </c>
      <c r="I158" s="49"/>
    </row>
    <row r="159" ht="18" customHeight="1" spans="2:9">
      <c r="B159" s="44">
        <v>46078</v>
      </c>
      <c r="C159" s="45" t="str">
        <f t="shared" si="4"/>
        <v>Wed</v>
      </c>
      <c r="D159" s="46" t="s">
        <v>13</v>
      </c>
      <c r="E159" s="31">
        <v>70</v>
      </c>
      <c r="F159" s="47"/>
      <c r="G159" s="47"/>
      <c r="H159" s="48" t="str">
        <f t="shared" si="5"/>
        <v>Feb 2026</v>
      </c>
      <c r="I159" s="49"/>
    </row>
    <row r="160" ht="18" customHeight="1" spans="2:9">
      <c r="B160" s="44">
        <v>46078</v>
      </c>
      <c r="C160" s="45" t="str">
        <f t="shared" si="4"/>
        <v>Wed</v>
      </c>
      <c r="D160" s="46" t="s">
        <v>21</v>
      </c>
      <c r="E160" s="31">
        <v>50</v>
      </c>
      <c r="F160" s="47"/>
      <c r="G160" s="47"/>
      <c r="H160" s="48" t="str">
        <f t="shared" si="5"/>
        <v>Feb 2026</v>
      </c>
      <c r="I160" s="49"/>
    </row>
    <row r="161" ht="18" customHeight="1" spans="2:9">
      <c r="B161" s="44">
        <v>46078</v>
      </c>
      <c r="C161" s="45" t="str">
        <f t="shared" si="4"/>
        <v>Wed</v>
      </c>
      <c r="D161" s="46" t="s">
        <v>82</v>
      </c>
      <c r="E161" s="31">
        <v>50</v>
      </c>
      <c r="F161" s="47"/>
      <c r="G161" s="47"/>
      <c r="H161" s="48" t="str">
        <f t="shared" si="5"/>
        <v>Feb 2026</v>
      </c>
      <c r="I161" s="49"/>
    </row>
    <row r="162" ht="18" customHeight="1" spans="2:9">
      <c r="B162" s="44">
        <v>46078</v>
      </c>
      <c r="C162" s="45" t="str">
        <f t="shared" si="4"/>
        <v>Wed</v>
      </c>
      <c r="D162" s="46" t="s">
        <v>138</v>
      </c>
      <c r="E162" s="31">
        <v>50</v>
      </c>
      <c r="F162" s="47"/>
      <c r="G162" s="47"/>
      <c r="H162" s="48" t="str">
        <f t="shared" si="5"/>
        <v>Feb 2026</v>
      </c>
      <c r="I162" s="49"/>
    </row>
    <row r="163" ht="18" customHeight="1" spans="2:9">
      <c r="B163" s="44">
        <v>46078</v>
      </c>
      <c r="C163" s="45" t="str">
        <f t="shared" si="4"/>
        <v>Wed</v>
      </c>
      <c r="D163" s="46" t="s">
        <v>13</v>
      </c>
      <c r="E163" s="31">
        <v>10</v>
      </c>
      <c r="F163" s="47"/>
      <c r="G163" s="47"/>
      <c r="H163" s="48" t="str">
        <f t="shared" si="5"/>
        <v>Feb 2026</v>
      </c>
      <c r="I163" s="49"/>
    </row>
    <row r="164" ht="18" customHeight="1" spans="2:9">
      <c r="B164" s="44">
        <v>46078</v>
      </c>
      <c r="C164" s="45" t="str">
        <f t="shared" si="4"/>
        <v>Wed</v>
      </c>
      <c r="D164" s="46" t="s">
        <v>139</v>
      </c>
      <c r="E164" s="31">
        <v>20</v>
      </c>
      <c r="F164" s="47"/>
      <c r="G164" s="47"/>
      <c r="H164" s="48" t="str">
        <f t="shared" si="5"/>
        <v>Feb 2026</v>
      </c>
      <c r="I164" s="49"/>
    </row>
    <row r="165" ht="18" customHeight="1" spans="2:9">
      <c r="B165" s="44">
        <v>46078</v>
      </c>
      <c r="C165" s="45" t="str">
        <f t="shared" si="4"/>
        <v>Wed</v>
      </c>
      <c r="D165" s="46" t="s">
        <v>76</v>
      </c>
      <c r="E165" s="31">
        <v>10</v>
      </c>
      <c r="F165" s="47"/>
      <c r="G165" s="47"/>
      <c r="H165" s="48" t="str">
        <f t="shared" si="5"/>
        <v>Feb 2026</v>
      </c>
      <c r="I165" s="49"/>
    </row>
    <row r="166" ht="18" customHeight="1" spans="2:9">
      <c r="B166" s="44">
        <v>46078</v>
      </c>
      <c r="C166" s="45" t="str">
        <f t="shared" si="4"/>
        <v>Wed</v>
      </c>
      <c r="D166" s="46" t="s">
        <v>76</v>
      </c>
      <c r="E166" s="31">
        <v>30</v>
      </c>
      <c r="F166" s="47"/>
      <c r="G166" s="47"/>
      <c r="H166" s="48" t="str">
        <f t="shared" si="5"/>
        <v>Feb 2026</v>
      </c>
      <c r="I166" s="49"/>
    </row>
    <row r="167" ht="18" customHeight="1" spans="2:9">
      <c r="B167" s="44">
        <v>46078</v>
      </c>
      <c r="C167" s="45" t="str">
        <f t="shared" si="4"/>
        <v>Wed</v>
      </c>
      <c r="D167" s="46" t="s">
        <v>140</v>
      </c>
      <c r="E167" s="31">
        <v>30</v>
      </c>
      <c r="F167" s="47"/>
      <c r="G167" s="47"/>
      <c r="H167" s="48" t="str">
        <f t="shared" si="5"/>
        <v>Feb 2026</v>
      </c>
      <c r="I167" s="49"/>
    </row>
    <row r="168" ht="18" customHeight="1" spans="2:9">
      <c r="B168" s="44">
        <v>46079</v>
      </c>
      <c r="C168" s="45" t="str">
        <f t="shared" si="4"/>
        <v>Thu</v>
      </c>
      <c r="D168" s="46" t="s">
        <v>103</v>
      </c>
      <c r="E168" s="31">
        <v>5</v>
      </c>
      <c r="F168" s="47"/>
      <c r="G168" s="47"/>
      <c r="H168" s="48" t="str">
        <f t="shared" si="5"/>
        <v>Feb 2026</v>
      </c>
      <c r="I168" s="49"/>
    </row>
    <row r="169" ht="18" customHeight="1" spans="2:9">
      <c r="B169" s="44">
        <v>46079</v>
      </c>
      <c r="C169" s="45" t="str">
        <f t="shared" si="4"/>
        <v>Thu</v>
      </c>
      <c r="D169" s="46" t="s">
        <v>13</v>
      </c>
      <c r="E169" s="31">
        <v>20</v>
      </c>
      <c r="F169" s="47"/>
      <c r="G169" s="47"/>
      <c r="H169" s="48" t="str">
        <f t="shared" si="5"/>
        <v>Feb 2026</v>
      </c>
      <c r="I169" s="49"/>
    </row>
    <row r="170" ht="18" customHeight="1" spans="2:9">
      <c r="B170" s="44">
        <v>46079</v>
      </c>
      <c r="C170" s="45" t="str">
        <f t="shared" si="4"/>
        <v>Thu</v>
      </c>
      <c r="D170" s="46" t="s">
        <v>141</v>
      </c>
      <c r="E170" s="31">
        <v>100</v>
      </c>
      <c r="F170" s="47"/>
      <c r="G170" s="47"/>
      <c r="H170" s="48" t="str">
        <f t="shared" si="5"/>
        <v>Feb 2026</v>
      </c>
      <c r="I170" s="49"/>
    </row>
    <row r="171" ht="18" customHeight="1" spans="2:9">
      <c r="B171" s="44">
        <v>46079</v>
      </c>
      <c r="C171" s="45" t="str">
        <f t="shared" si="4"/>
        <v>Thu</v>
      </c>
      <c r="D171" s="46" t="s">
        <v>142</v>
      </c>
      <c r="E171" s="31">
        <v>20</v>
      </c>
      <c r="F171" s="47"/>
      <c r="G171" s="47"/>
      <c r="H171" s="48" t="str">
        <f t="shared" si="5"/>
        <v>Feb 2026</v>
      </c>
      <c r="I171" s="49"/>
    </row>
    <row r="172" ht="18" customHeight="1" spans="2:9">
      <c r="B172" s="44">
        <v>46079</v>
      </c>
      <c r="C172" s="45" t="str">
        <f t="shared" si="4"/>
        <v>Thu</v>
      </c>
      <c r="D172" s="46" t="s">
        <v>21</v>
      </c>
      <c r="E172" s="31">
        <v>50</v>
      </c>
      <c r="F172" s="47"/>
      <c r="G172" s="47"/>
      <c r="H172" s="48" t="str">
        <f t="shared" si="5"/>
        <v>Feb 2026</v>
      </c>
      <c r="I172" s="49"/>
    </row>
    <row r="173" ht="18" customHeight="1" spans="2:9">
      <c r="B173" s="44">
        <v>46079</v>
      </c>
      <c r="C173" s="45" t="str">
        <f t="shared" si="4"/>
        <v>Thu</v>
      </c>
      <c r="D173" s="46" t="s">
        <v>13</v>
      </c>
      <c r="E173" s="31">
        <v>50</v>
      </c>
      <c r="F173" s="47"/>
      <c r="G173" s="47"/>
      <c r="H173" s="48" t="str">
        <f t="shared" si="5"/>
        <v>Feb 2026</v>
      </c>
      <c r="I173" s="49"/>
    </row>
    <row r="174" ht="18" customHeight="1" spans="2:9">
      <c r="B174" s="44">
        <v>46079</v>
      </c>
      <c r="C174" s="45" t="str">
        <f t="shared" si="4"/>
        <v>Thu</v>
      </c>
      <c r="D174" s="46" t="s">
        <v>143</v>
      </c>
      <c r="E174" s="31">
        <v>50</v>
      </c>
      <c r="F174" s="47"/>
      <c r="G174" s="47"/>
      <c r="H174" s="48" t="str">
        <f t="shared" si="5"/>
        <v>Feb 2026</v>
      </c>
      <c r="I174" s="49"/>
    </row>
    <row r="175" ht="18" customHeight="1" spans="2:9">
      <c r="B175" s="44">
        <v>46079</v>
      </c>
      <c r="C175" s="45" t="str">
        <f t="shared" si="4"/>
        <v>Thu</v>
      </c>
      <c r="D175" s="46" t="s">
        <v>13</v>
      </c>
      <c r="E175" s="31">
        <v>30</v>
      </c>
      <c r="F175" s="47"/>
      <c r="G175" s="47"/>
      <c r="H175" s="48" t="str">
        <f t="shared" si="5"/>
        <v>Feb 2026</v>
      </c>
      <c r="I175" s="49"/>
    </row>
    <row r="176" ht="18" customHeight="1" spans="2:9">
      <c r="B176" s="44">
        <v>46079</v>
      </c>
      <c r="C176" s="45" t="str">
        <f t="shared" si="4"/>
        <v>Thu</v>
      </c>
      <c r="D176" s="46" t="s">
        <v>21</v>
      </c>
      <c r="E176" s="31">
        <v>50</v>
      </c>
      <c r="F176" s="47"/>
      <c r="G176" s="47"/>
      <c r="H176" s="48" t="str">
        <f t="shared" si="5"/>
        <v>Feb 2026</v>
      </c>
      <c r="I176" s="49"/>
    </row>
    <row r="177" ht="18" customHeight="1" spans="2:9">
      <c r="B177" s="44">
        <v>46079</v>
      </c>
      <c r="C177" s="45" t="str">
        <f t="shared" si="4"/>
        <v>Thu</v>
      </c>
      <c r="D177" s="46" t="s">
        <v>13</v>
      </c>
      <c r="E177" s="31">
        <v>10</v>
      </c>
      <c r="F177" s="47"/>
      <c r="G177" s="47"/>
      <c r="H177" s="48" t="str">
        <f t="shared" si="5"/>
        <v>Feb 2026</v>
      </c>
      <c r="I177" s="49"/>
    </row>
    <row r="178" ht="18" customHeight="1" spans="2:9">
      <c r="B178" s="44">
        <v>46079</v>
      </c>
      <c r="C178" s="45" t="str">
        <f t="shared" si="4"/>
        <v>Thu</v>
      </c>
      <c r="D178" s="46" t="s">
        <v>144</v>
      </c>
      <c r="E178" s="31">
        <v>80</v>
      </c>
      <c r="F178" s="47"/>
      <c r="G178" s="47"/>
      <c r="H178" s="48" t="str">
        <f t="shared" si="5"/>
        <v>Feb 2026</v>
      </c>
      <c r="I178" s="49"/>
    </row>
    <row r="179" ht="18" customHeight="1" spans="2:9">
      <c r="B179" s="44">
        <v>46079</v>
      </c>
      <c r="C179" s="45" t="str">
        <f t="shared" si="4"/>
        <v>Thu</v>
      </c>
      <c r="D179" s="46" t="s">
        <v>21</v>
      </c>
      <c r="E179" s="31">
        <v>50</v>
      </c>
      <c r="F179" s="47"/>
      <c r="G179" s="47"/>
      <c r="H179" s="48" t="str">
        <f t="shared" si="5"/>
        <v>Feb 2026</v>
      </c>
      <c r="I179" s="49"/>
    </row>
    <row r="180" ht="18" customHeight="1" spans="2:9">
      <c r="B180" s="44">
        <v>46079</v>
      </c>
      <c r="C180" s="45" t="str">
        <f t="shared" si="4"/>
        <v>Thu</v>
      </c>
      <c r="D180" s="46" t="s">
        <v>93</v>
      </c>
      <c r="E180" s="31">
        <v>30</v>
      </c>
      <c r="F180" s="47"/>
      <c r="G180" s="47"/>
      <c r="H180" s="48" t="str">
        <f t="shared" si="5"/>
        <v>Feb 2026</v>
      </c>
      <c r="I180" s="49"/>
    </row>
    <row r="181" spans="2:9">
      <c r="B181" s="44">
        <v>46079</v>
      </c>
      <c r="C181" s="45" t="str">
        <f t="shared" si="4"/>
        <v>Thu</v>
      </c>
      <c r="D181" s="46" t="s">
        <v>70</v>
      </c>
      <c r="E181" s="31">
        <v>10</v>
      </c>
      <c r="F181" s="47"/>
      <c r="G181" s="47"/>
      <c r="H181" s="48" t="str">
        <f t="shared" si="5"/>
        <v>Feb 2026</v>
      </c>
      <c r="I181" s="49"/>
    </row>
    <row r="182" spans="2:9">
      <c r="B182" s="44">
        <v>46079</v>
      </c>
      <c r="C182" s="45" t="str">
        <f t="shared" si="4"/>
        <v>Thu</v>
      </c>
      <c r="D182" s="46" t="s">
        <v>103</v>
      </c>
      <c r="E182" s="31">
        <v>5</v>
      </c>
      <c r="F182" s="47"/>
      <c r="G182" s="47"/>
      <c r="H182" s="48" t="str">
        <f t="shared" si="5"/>
        <v>Feb 2026</v>
      </c>
      <c r="I182" s="49"/>
    </row>
    <row r="183" spans="2:9">
      <c r="B183" s="44">
        <v>46079</v>
      </c>
      <c r="C183" s="45" t="str">
        <f t="shared" si="4"/>
        <v>Thu</v>
      </c>
      <c r="D183" s="46" t="s">
        <v>21</v>
      </c>
      <c r="E183" s="31">
        <v>50</v>
      </c>
      <c r="F183" s="47"/>
      <c r="G183" s="47"/>
      <c r="H183" s="48" t="str">
        <f t="shared" si="5"/>
        <v>Feb 2026</v>
      </c>
      <c r="I183" s="49"/>
    </row>
    <row r="184" spans="2:9">
      <c r="B184" s="44">
        <v>46079</v>
      </c>
      <c r="C184" s="45" t="str">
        <f t="shared" si="4"/>
        <v>Thu</v>
      </c>
      <c r="D184" s="46" t="s">
        <v>145</v>
      </c>
      <c r="E184" s="31">
        <v>90</v>
      </c>
      <c r="F184" s="47"/>
      <c r="G184" s="47"/>
      <c r="H184" s="48" t="str">
        <f t="shared" si="5"/>
        <v>Feb 2026</v>
      </c>
      <c r="I184" s="49"/>
    </row>
    <row r="185" spans="2:9">
      <c r="B185" s="44">
        <v>46079</v>
      </c>
      <c r="C185" s="45" t="str">
        <f t="shared" si="4"/>
        <v>Thu</v>
      </c>
      <c r="D185" s="46" t="s">
        <v>21</v>
      </c>
      <c r="E185" s="31">
        <v>50</v>
      </c>
      <c r="F185" s="47"/>
      <c r="G185" s="47"/>
      <c r="H185" s="48" t="str">
        <f t="shared" si="5"/>
        <v>Feb 2026</v>
      </c>
      <c r="I185" s="49"/>
    </row>
    <row r="186" spans="2:9">
      <c r="B186" s="44">
        <v>46079</v>
      </c>
      <c r="C186" s="45" t="str">
        <f t="shared" si="4"/>
        <v>Thu</v>
      </c>
      <c r="D186" s="46" t="s">
        <v>70</v>
      </c>
      <c r="E186" s="31">
        <v>20</v>
      </c>
      <c r="F186" s="47"/>
      <c r="G186" s="47"/>
      <c r="H186" s="48" t="str">
        <f t="shared" si="5"/>
        <v>Feb 2026</v>
      </c>
      <c r="I186" s="49"/>
    </row>
    <row r="187" spans="2:9">
      <c r="B187" s="44">
        <v>46079</v>
      </c>
      <c r="C187" s="45" t="str">
        <f t="shared" ref="C187:C250" si="6">IF(B187="","",TEXT(B187,"ddd"))</f>
        <v>Thu</v>
      </c>
      <c r="D187" s="46" t="s">
        <v>131</v>
      </c>
      <c r="E187" s="31">
        <v>30</v>
      </c>
      <c r="F187" s="47"/>
      <c r="G187" s="47"/>
      <c r="H187" s="48" t="str">
        <f t="shared" ref="H187:H250" si="7">IF(B187="","",TEXT(B187,"mmm yyyy"))</f>
        <v>Feb 2026</v>
      </c>
      <c r="I187" s="49"/>
    </row>
    <row r="188" spans="2:9">
      <c r="B188" s="44">
        <v>46079</v>
      </c>
      <c r="C188" s="45" t="str">
        <f t="shared" si="6"/>
        <v>Thu</v>
      </c>
      <c r="D188" s="46" t="s">
        <v>103</v>
      </c>
      <c r="E188" s="31">
        <v>10</v>
      </c>
      <c r="F188" s="47"/>
      <c r="G188" s="47"/>
      <c r="H188" s="48" t="str">
        <f t="shared" si="7"/>
        <v>Feb 2026</v>
      </c>
      <c r="I188" s="49"/>
    </row>
    <row r="189" spans="2:9">
      <c r="B189" s="44">
        <v>46079</v>
      </c>
      <c r="C189" s="45" t="str">
        <f t="shared" si="6"/>
        <v>Thu</v>
      </c>
      <c r="D189" s="46" t="s">
        <v>145</v>
      </c>
      <c r="E189" s="31">
        <v>150</v>
      </c>
      <c r="F189" s="47"/>
      <c r="G189" s="47"/>
      <c r="H189" s="48" t="str">
        <f t="shared" si="7"/>
        <v>Feb 2026</v>
      </c>
      <c r="I189" s="49"/>
    </row>
    <row r="190" spans="2:9">
      <c r="B190" s="44">
        <v>46079</v>
      </c>
      <c r="C190" s="45" t="str">
        <f t="shared" si="6"/>
        <v>Thu</v>
      </c>
      <c r="D190" s="46" t="s">
        <v>103</v>
      </c>
      <c r="E190" s="31">
        <v>10</v>
      </c>
      <c r="F190" s="47"/>
      <c r="G190" s="47"/>
      <c r="H190" s="48" t="str">
        <f t="shared" si="7"/>
        <v>Feb 2026</v>
      </c>
      <c r="I190" s="49"/>
    </row>
    <row r="191" spans="2:9">
      <c r="B191" s="44">
        <v>46079</v>
      </c>
      <c r="C191" s="45" t="str">
        <f t="shared" si="6"/>
        <v>Thu</v>
      </c>
      <c r="D191" s="46" t="s">
        <v>146</v>
      </c>
      <c r="E191" s="31">
        <v>40</v>
      </c>
      <c r="F191" s="47"/>
      <c r="G191" s="47"/>
      <c r="H191" s="48" t="str">
        <f t="shared" si="7"/>
        <v>Feb 2026</v>
      </c>
      <c r="I191" s="49"/>
    </row>
    <row r="192" spans="2:9">
      <c r="B192" s="44">
        <v>46079</v>
      </c>
      <c r="C192" s="45" t="str">
        <f t="shared" si="6"/>
        <v>Thu</v>
      </c>
      <c r="D192" s="46" t="s">
        <v>13</v>
      </c>
      <c r="E192" s="31">
        <v>120</v>
      </c>
      <c r="F192" s="47"/>
      <c r="G192" s="47"/>
      <c r="H192" s="48" t="str">
        <f t="shared" si="7"/>
        <v>Feb 2026</v>
      </c>
      <c r="I192" s="49"/>
    </row>
    <row r="193" spans="2:9">
      <c r="B193" s="44">
        <v>46079</v>
      </c>
      <c r="C193" s="45" t="str">
        <f t="shared" si="6"/>
        <v>Thu</v>
      </c>
      <c r="D193" s="46" t="s">
        <v>21</v>
      </c>
      <c r="E193" s="31">
        <v>50</v>
      </c>
      <c r="F193" s="47"/>
      <c r="G193" s="47"/>
      <c r="H193" s="48" t="str">
        <f t="shared" si="7"/>
        <v>Feb 2026</v>
      </c>
      <c r="I193" s="49"/>
    </row>
    <row r="194" spans="2:9">
      <c r="B194" s="44">
        <v>46080</v>
      </c>
      <c r="C194" s="45" t="str">
        <f t="shared" si="6"/>
        <v>Fri</v>
      </c>
      <c r="D194" s="46" t="s">
        <v>147</v>
      </c>
      <c r="E194" s="31">
        <v>70</v>
      </c>
      <c r="F194" s="47"/>
      <c r="G194" s="47"/>
      <c r="H194" s="48" t="str">
        <f t="shared" si="7"/>
        <v>Feb 2026</v>
      </c>
      <c r="I194" s="49"/>
    </row>
    <row r="195" spans="2:9">
      <c r="B195" s="44">
        <v>46080</v>
      </c>
      <c r="C195" s="45" t="str">
        <f t="shared" si="6"/>
        <v>Fri</v>
      </c>
      <c r="D195" s="46" t="s">
        <v>13</v>
      </c>
      <c r="E195" s="31">
        <v>80</v>
      </c>
      <c r="F195" s="47"/>
      <c r="G195" s="47"/>
      <c r="H195" s="48" t="str">
        <f t="shared" si="7"/>
        <v>Feb 2026</v>
      </c>
      <c r="I195" s="49"/>
    </row>
    <row r="196" spans="2:9">
      <c r="B196" s="44">
        <v>46080</v>
      </c>
      <c r="C196" s="45" t="str">
        <f t="shared" si="6"/>
        <v>Fri</v>
      </c>
      <c r="D196" s="46" t="s">
        <v>148</v>
      </c>
      <c r="E196" s="31">
        <v>80</v>
      </c>
      <c r="F196" s="47"/>
      <c r="G196" s="47"/>
      <c r="H196" s="48" t="str">
        <f t="shared" si="7"/>
        <v>Feb 2026</v>
      </c>
      <c r="I196" s="49"/>
    </row>
    <row r="197" spans="2:9">
      <c r="B197" s="44">
        <v>46080</v>
      </c>
      <c r="C197" s="45" t="str">
        <f t="shared" si="6"/>
        <v>Fri</v>
      </c>
      <c r="D197" s="46" t="s">
        <v>13</v>
      </c>
      <c r="E197" s="31">
        <v>70</v>
      </c>
      <c r="F197" s="47"/>
      <c r="G197" s="47"/>
      <c r="H197" s="48" t="str">
        <f t="shared" si="7"/>
        <v>Feb 2026</v>
      </c>
      <c r="I197" s="49"/>
    </row>
    <row r="198" spans="2:9">
      <c r="B198" s="44">
        <v>46080</v>
      </c>
      <c r="C198" s="45" t="str">
        <f t="shared" si="6"/>
        <v>Fri</v>
      </c>
      <c r="D198" s="46" t="s">
        <v>21</v>
      </c>
      <c r="E198" s="31">
        <v>50</v>
      </c>
      <c r="F198" s="47"/>
      <c r="G198" s="47"/>
      <c r="H198" s="48" t="str">
        <f t="shared" si="7"/>
        <v>Feb 2026</v>
      </c>
      <c r="I198" s="49"/>
    </row>
    <row r="199" spans="2:9">
      <c r="B199" s="44">
        <v>46080</v>
      </c>
      <c r="C199" s="45" t="str">
        <f t="shared" si="6"/>
        <v>Fri</v>
      </c>
      <c r="D199" s="46" t="s">
        <v>143</v>
      </c>
      <c r="E199" s="31">
        <v>100</v>
      </c>
      <c r="F199" s="47"/>
      <c r="G199" s="47"/>
      <c r="H199" s="48" t="str">
        <f t="shared" si="7"/>
        <v>Feb 2026</v>
      </c>
      <c r="I199" s="49"/>
    </row>
    <row r="200" spans="2:9">
      <c r="B200" s="44">
        <v>46080</v>
      </c>
      <c r="C200" s="45" t="str">
        <f t="shared" si="6"/>
        <v>Fri</v>
      </c>
      <c r="D200" s="46" t="s">
        <v>143</v>
      </c>
      <c r="E200" s="31">
        <v>20</v>
      </c>
      <c r="F200" s="47"/>
      <c r="G200" s="47"/>
      <c r="H200" s="48" t="str">
        <f t="shared" si="7"/>
        <v>Feb 2026</v>
      </c>
      <c r="I200" s="49"/>
    </row>
    <row r="201" spans="2:9">
      <c r="B201" s="44">
        <v>46080</v>
      </c>
      <c r="C201" s="45" t="str">
        <f t="shared" si="6"/>
        <v>Fri</v>
      </c>
      <c r="D201" s="46" t="s">
        <v>143</v>
      </c>
      <c r="E201" s="31">
        <v>50</v>
      </c>
      <c r="F201" s="47"/>
      <c r="G201" s="47"/>
      <c r="H201" s="48" t="str">
        <f t="shared" si="7"/>
        <v>Feb 2026</v>
      </c>
      <c r="I201" s="49"/>
    </row>
    <row r="202" spans="2:9">
      <c r="B202" s="44">
        <v>46080</v>
      </c>
      <c r="C202" s="45" t="str">
        <f t="shared" si="6"/>
        <v>Fri</v>
      </c>
      <c r="D202" s="46" t="s">
        <v>143</v>
      </c>
      <c r="E202" s="31">
        <v>60</v>
      </c>
      <c r="F202" s="47"/>
      <c r="G202" s="47"/>
      <c r="H202" s="48" t="str">
        <f t="shared" si="7"/>
        <v>Feb 2026</v>
      </c>
      <c r="I202" s="49"/>
    </row>
    <row r="203" spans="2:9">
      <c r="B203" s="44">
        <v>46080</v>
      </c>
      <c r="C203" s="45" t="str">
        <f t="shared" si="6"/>
        <v>Fri</v>
      </c>
      <c r="D203" s="46" t="s">
        <v>149</v>
      </c>
      <c r="E203" s="31">
        <v>10</v>
      </c>
      <c r="F203" s="47"/>
      <c r="G203" s="47"/>
      <c r="H203" s="48" t="str">
        <f t="shared" si="7"/>
        <v>Feb 2026</v>
      </c>
      <c r="I203" s="49"/>
    </row>
    <row r="204" spans="2:9">
      <c r="B204" s="44">
        <v>46080</v>
      </c>
      <c r="C204" s="45" t="str">
        <f t="shared" si="6"/>
        <v>Fri</v>
      </c>
      <c r="D204" s="46" t="s">
        <v>143</v>
      </c>
      <c r="E204" s="31">
        <v>30</v>
      </c>
      <c r="F204" s="47"/>
      <c r="G204" s="47"/>
      <c r="H204" s="48" t="str">
        <f t="shared" si="7"/>
        <v>Feb 2026</v>
      </c>
      <c r="I204" s="49"/>
    </row>
  </sheetData>
  <mergeCells count="10">
    <mergeCell ref="A1:I1"/>
    <mergeCell ref="A2:I2"/>
    <mergeCell ref="B4:I4"/>
    <mergeCell ref="B5:I5"/>
    <mergeCell ref="B6:I6"/>
    <mergeCell ref="B7:I7"/>
    <mergeCell ref="B8:I8"/>
    <mergeCell ref="B9:I9"/>
    <mergeCell ref="B10:I10"/>
    <mergeCell ref="B13:I13"/>
  </mergeCells>
  <dataValidations count="1">
    <dataValidation type="list" allowBlank="1" sqref="D14:D71 D72:D104 D105:D131 D132:D204">
      <formula1>"Photocopying,Printing &amp; Scanning,Lamination,Binding,Typing &amp; Editing,ID &amp; Cards,Document Services,Stationery &amp; Supplies,Other Revenue"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</sheetPr>
  <dimension ref="A1:F59"/>
  <sheetViews>
    <sheetView showGridLines="0" workbookViewId="0">
      <pane xSplit="1" ySplit="2" topLeftCell="B7" activePane="bottomRight" state="frozen"/>
      <selection/>
      <selection pane="topRight"/>
      <selection pane="bottomLeft"/>
      <selection pane="bottomRight" activeCell="C7" sqref="C7"/>
    </sheetView>
  </sheetViews>
  <sheetFormatPr defaultColWidth="9" defaultRowHeight="15" outlineLevelCol="5"/>
  <cols>
    <col min="1" max="1" width="1.5047619047619" customWidth="1"/>
    <col min="2" max="2" width="30" customWidth="1"/>
    <col min="3" max="6" width="18" customWidth="1"/>
    <col min="7" max="7" width="2" customWidth="1"/>
  </cols>
  <sheetData>
    <row r="1" ht="34" customHeight="1" spans="1:6">
      <c r="A1" s="25" t="s">
        <v>150</v>
      </c>
    </row>
    <row r="2" ht="18" customHeight="1" spans="1:6">
      <c r="A2" s="26" t="s">
        <v>151</v>
      </c>
    </row>
    <row r="3" ht="18" customHeight="1"/>
    <row r="4" ht="22" customHeight="1" spans="1:6">
      <c r="B4" s="9" t="s">
        <v>152</v>
      </c>
    </row>
    <row r="5" ht="22" customHeight="1" spans="1:6">
      <c r="B5" s="2" t="s">
        <v>153</v>
      </c>
      <c r="C5" s="10" t="s">
        <v>48</v>
      </c>
      <c r="D5" s="10" t="s">
        <v>49</v>
      </c>
      <c r="E5" s="10" t="s">
        <v>154</v>
      </c>
      <c r="F5" s="10" t="s">
        <v>155</v>
      </c>
    </row>
    <row r="6" ht="18" customHeight="1" spans="1:6">
      <c r="B6" s="21" t="s">
        <v>156</v>
      </c>
      <c r="C6" s="12">
        <v>18000</v>
      </c>
      <c r="D6" s="27"/>
      <c r="E6" s="27"/>
      <c r="F6" s="27"/>
    </row>
    <row r="7" ht="18" customHeight="1" spans="1:6">
      <c r="B7" s="22" t="s">
        <v>157</v>
      </c>
      <c r="C7" s="12">
        <v>20000</v>
      </c>
      <c r="D7" s="27"/>
      <c r="E7" s="27"/>
      <c r="F7" s="27"/>
    </row>
    <row r="8" ht="18" customHeight="1" spans="1:6">
      <c r="B8" s="21" t="s">
        <v>158</v>
      </c>
      <c r="C8" s="12">
        <v>22000</v>
      </c>
      <c r="D8" s="27"/>
      <c r="E8" s="27"/>
      <c r="F8" s="27"/>
    </row>
    <row r="9" ht="18" customHeight="1" spans="1:6">
      <c r="B9" s="22" t="s">
        <v>159</v>
      </c>
      <c r="C9" s="12">
        <v>3000</v>
      </c>
      <c r="D9" s="27"/>
      <c r="E9" s="27"/>
      <c r="F9" s="27"/>
    </row>
    <row r="10" ht="18" customHeight="1" spans="1:6">
      <c r="B10" s="21" t="s">
        <v>160</v>
      </c>
      <c r="C10" s="12">
        <v>6500</v>
      </c>
      <c r="D10" s="27"/>
      <c r="E10" s="27"/>
      <c r="F10" s="27"/>
    </row>
    <row r="11" ht="18" customHeight="1" spans="1:6">
      <c r="B11" s="22" t="s">
        <v>161</v>
      </c>
      <c r="C11" s="12">
        <v>9000</v>
      </c>
      <c r="D11" s="27"/>
      <c r="E11" s="27"/>
      <c r="F11" s="27"/>
    </row>
    <row r="12" ht="22" customHeight="1" spans="1:6">
      <c r="B12" s="2" t="s">
        <v>162</v>
      </c>
      <c r="C12" s="28">
        <f>SUM(C6:C11)</f>
        <v>78500</v>
      </c>
      <c r="D12" s="28">
        <f>SUM(D6:D11)</f>
        <v>0</v>
      </c>
      <c r="E12" s="28">
        <f>SUM(E6:E11)</f>
        <v>0</v>
      </c>
      <c r="F12" s="28">
        <f>SUM(F6:F11)</f>
        <v>0</v>
      </c>
    </row>
    <row r="13" ht="18" customHeight="1"/>
    <row r="14" ht="22" customHeight="1" spans="1:6">
      <c r="B14" s="29" t="s">
        <v>163</v>
      </c>
    </row>
    <row r="15" ht="18" customHeight="1"/>
    <row r="16" ht="18" customHeight="1" spans="1:6">
      <c r="B16" s="30" t="s">
        <v>164</v>
      </c>
      <c r="C16" s="31">
        <v>83282</v>
      </c>
      <c r="D16" s="31">
        <v>8090</v>
      </c>
      <c r="E16" s="31"/>
      <c r="F16" s="31"/>
    </row>
    <row r="17" ht="20" customHeight="1" spans="2:6">
      <c r="B17" s="21" t="s">
        <v>165</v>
      </c>
      <c r="C17" s="32">
        <f>C16-C12</f>
        <v>4782</v>
      </c>
      <c r="D17" s="32">
        <f>D16-D12</f>
        <v>8090</v>
      </c>
      <c r="E17" s="32"/>
      <c r="F17" s="32"/>
    </row>
    <row r="18" ht="20" customHeight="1" spans="2:6">
      <c r="B18" s="22" t="s">
        <v>166</v>
      </c>
      <c r="C18" s="33">
        <v>27</v>
      </c>
      <c r="D18" s="33">
        <v>28</v>
      </c>
      <c r="E18" s="34"/>
      <c r="F18" s="34"/>
    </row>
    <row r="19" ht="20" customHeight="1" spans="2:6">
      <c r="B19" s="21" t="s">
        <v>167</v>
      </c>
      <c r="C19" s="35">
        <f>ROUND(C12/C18,0)</f>
        <v>2907</v>
      </c>
      <c r="D19" s="35">
        <f>ROUND(D12/D18,0)</f>
        <v>0</v>
      </c>
      <c r="E19" s="35"/>
      <c r="F19" s="35"/>
    </row>
    <row r="20" ht="20" customHeight="1" spans="2:6">
      <c r="B20" s="22" t="s">
        <v>168</v>
      </c>
      <c r="C20" s="36">
        <f>ROUND(C16/C18,0)</f>
        <v>3085</v>
      </c>
      <c r="D20" s="36">
        <f>ROUND(D16/D18,0)</f>
        <v>289</v>
      </c>
      <c r="E20" s="36"/>
      <c r="F20" s="36"/>
    </row>
    <row r="21" ht="20" customHeight="1" spans="2:6">
      <c r="B21" s="21" t="s">
        <v>169</v>
      </c>
      <c r="C21" s="37">
        <f>IFERROR((C16-C12)/C16,"-")</f>
        <v>0.0574193703321246</v>
      </c>
      <c r="D21" s="37">
        <f>IFERROR((D16-D12)/D16,"-")</f>
        <v>1</v>
      </c>
      <c r="E21" s="37"/>
      <c r="F21" s="37"/>
    </row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4">
    <mergeCell ref="A1:F1"/>
    <mergeCell ref="A2:F2"/>
    <mergeCell ref="B4:F4"/>
    <mergeCell ref="B14:F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9"/>
  <sheetViews>
    <sheetView showGridLines="0" workbookViewId="0">
      <pane xSplit="1" ySplit="5" topLeftCell="B8" activePane="bottomRight" state="frozen"/>
      <selection/>
      <selection pane="topRight"/>
      <selection pane="bottomLeft"/>
      <selection pane="bottomRight" activeCell="A1" sqref="A1:G1"/>
    </sheetView>
  </sheetViews>
  <sheetFormatPr defaultColWidth="9" defaultRowHeight="15" outlineLevelCol="6"/>
  <cols>
    <col min="1" max="1" width="1.5047619047619" customWidth="1"/>
    <col min="2" max="2" width="24" customWidth="1"/>
    <col min="3" max="5" width="18" customWidth="1"/>
    <col min="6" max="6" width="12" customWidth="1"/>
    <col min="7" max="7" width="28" customWidth="1"/>
    <col min="8" max="8" width="2" customWidth="1"/>
  </cols>
  <sheetData>
    <row r="1" ht="34" customHeight="1" spans="1:7">
      <c r="A1" s="7" t="s">
        <v>170</v>
      </c>
    </row>
    <row r="2" ht="18" customHeight="1" spans="1:7">
      <c r="A2" s="8" t="s">
        <v>171</v>
      </c>
    </row>
    <row r="3" ht="18" customHeight="1"/>
    <row r="4" ht="22" customHeight="1" spans="1:7">
      <c r="B4" s="9" t="s">
        <v>172</v>
      </c>
    </row>
    <row r="5" ht="22" customHeight="1" spans="1:7">
      <c r="B5" s="2" t="s">
        <v>173</v>
      </c>
      <c r="C5" s="10" t="s">
        <v>174</v>
      </c>
      <c r="D5" s="10" t="s">
        <v>175</v>
      </c>
      <c r="E5" s="10" t="s">
        <v>176</v>
      </c>
      <c r="F5" s="10" t="s">
        <v>177</v>
      </c>
      <c r="G5" s="10" t="s">
        <v>178</v>
      </c>
    </row>
    <row r="6" ht="20" customHeight="1" spans="1:7">
      <c r="B6" s="11" t="s">
        <v>179</v>
      </c>
      <c r="C6" s="12">
        <v>9870</v>
      </c>
      <c r="D6" s="13">
        <v>0</v>
      </c>
      <c r="E6" s="14">
        <f t="shared" ref="E6:E15" si="0">IF(C6="","",IFERROR(C6-D6,0))</f>
        <v>9870</v>
      </c>
      <c r="F6" s="15" t="str">
        <f t="shared" ref="F6:F15" si="1">IF(E6="","",IF(E6&lt;=0,"✅ SETTLED",IF(E6&gt;5000,"🔴 CRITICAL","🟡 MONITOR")))</f>
        <v>🔴 CRITICAL</v>
      </c>
      <c r="G6" s="16" t="s">
        <v>180</v>
      </c>
    </row>
    <row r="7" ht="20" customHeight="1" spans="1:7">
      <c r="B7" s="11" t="s">
        <v>181</v>
      </c>
      <c r="C7" s="12">
        <v>3945</v>
      </c>
      <c r="D7" s="13">
        <v>0</v>
      </c>
      <c r="E7" s="17">
        <f t="shared" si="0"/>
        <v>3945</v>
      </c>
      <c r="F7" s="18" t="str">
        <f t="shared" si="1"/>
        <v>🟡 MONITOR</v>
      </c>
      <c r="G7" s="19" t="s">
        <v>182</v>
      </c>
    </row>
    <row r="8" ht="20" customHeight="1" spans="1:7">
      <c r="B8" s="11" t="s">
        <v>112</v>
      </c>
      <c r="C8" s="20"/>
      <c r="D8" s="13"/>
      <c r="E8" s="14" t="str">
        <f t="shared" si="0"/>
        <v/>
      </c>
      <c r="F8" s="15" t="str">
        <f t="shared" si="1"/>
        <v/>
      </c>
      <c r="G8" s="16" t="s">
        <v>183</v>
      </c>
    </row>
    <row r="9" ht="20" customHeight="1" spans="1:7">
      <c r="B9" s="11" t="s">
        <v>184</v>
      </c>
      <c r="C9" s="20"/>
      <c r="D9" s="13"/>
      <c r="E9" s="17" t="str">
        <f t="shared" si="0"/>
        <v/>
      </c>
      <c r="F9" s="18" t="str">
        <f t="shared" si="1"/>
        <v/>
      </c>
      <c r="G9" s="19" t="s">
        <v>185</v>
      </c>
    </row>
    <row r="10" ht="20" customHeight="1" spans="1:7">
      <c r="B10" s="21" t="s">
        <v>186</v>
      </c>
      <c r="C10" s="20" t="s">
        <v>186</v>
      </c>
      <c r="D10" s="13" t="s">
        <v>186</v>
      </c>
      <c r="E10" s="14" t="str">
        <f t="shared" si="0"/>
        <v/>
      </c>
      <c r="F10" s="15" t="str">
        <f t="shared" si="1"/>
        <v/>
      </c>
      <c r="G10" s="16" t="s">
        <v>186</v>
      </c>
    </row>
    <row r="11" ht="20" customHeight="1" spans="1:7">
      <c r="B11" s="22" t="s">
        <v>186</v>
      </c>
      <c r="C11" s="20" t="s">
        <v>186</v>
      </c>
      <c r="D11" s="13" t="s">
        <v>186</v>
      </c>
      <c r="E11" s="17" t="str">
        <f t="shared" si="0"/>
        <v/>
      </c>
      <c r="F11" s="18" t="str">
        <f t="shared" si="1"/>
        <v/>
      </c>
      <c r="G11" s="19" t="s">
        <v>186</v>
      </c>
    </row>
    <row r="12" ht="20" customHeight="1" spans="1:7">
      <c r="B12" s="21" t="s">
        <v>186</v>
      </c>
      <c r="C12" s="20" t="s">
        <v>186</v>
      </c>
      <c r="D12" s="13" t="s">
        <v>186</v>
      </c>
      <c r="E12" s="14" t="str">
        <f t="shared" si="0"/>
        <v/>
      </c>
      <c r="F12" s="15" t="str">
        <f t="shared" si="1"/>
        <v/>
      </c>
      <c r="G12" s="16" t="s">
        <v>186</v>
      </c>
    </row>
    <row r="13" ht="20" customHeight="1" spans="1:7">
      <c r="B13" s="22" t="s">
        <v>186</v>
      </c>
      <c r="C13" s="20" t="s">
        <v>186</v>
      </c>
      <c r="D13" s="13" t="s">
        <v>186</v>
      </c>
      <c r="E13" s="17" t="str">
        <f t="shared" si="0"/>
        <v/>
      </c>
      <c r="F13" s="18" t="str">
        <f t="shared" si="1"/>
        <v/>
      </c>
      <c r="G13" s="19" t="s">
        <v>186</v>
      </c>
    </row>
    <row r="14" ht="20" customHeight="1" spans="1:7">
      <c r="B14" s="21" t="s">
        <v>186</v>
      </c>
      <c r="C14" s="20" t="s">
        <v>186</v>
      </c>
      <c r="D14" s="13" t="s">
        <v>186</v>
      </c>
      <c r="E14" s="14" t="str">
        <f t="shared" si="0"/>
        <v/>
      </c>
      <c r="F14" s="15" t="str">
        <f t="shared" si="1"/>
        <v/>
      </c>
      <c r="G14" s="16" t="s">
        <v>186</v>
      </c>
    </row>
    <row r="15" ht="20" customHeight="1" spans="1:7">
      <c r="B15" s="22" t="s">
        <v>186</v>
      </c>
      <c r="C15" s="20" t="s">
        <v>186</v>
      </c>
      <c r="D15" s="13" t="s">
        <v>186</v>
      </c>
      <c r="E15" s="17" t="str">
        <f t="shared" si="0"/>
        <v/>
      </c>
      <c r="F15" s="18" t="str">
        <f t="shared" si="1"/>
        <v/>
      </c>
      <c r="G15" s="19" t="s">
        <v>186</v>
      </c>
    </row>
    <row r="16" ht="22" customHeight="1" spans="1:7">
      <c r="B16" s="23" t="s">
        <v>187</v>
      </c>
      <c r="C16" s="24">
        <f>SUMIF(C6:C15,"&lt;&gt;",C6:C15)</f>
        <v>13815</v>
      </c>
      <c r="D16" s="24">
        <f>SUMIF(D6:D15,"&lt;&gt;",D6:D15)</f>
        <v>0</v>
      </c>
      <c r="E16" s="24">
        <f>SUMIF(E6:E15,"&lt;&gt;",E6:E15)</f>
        <v>13815</v>
      </c>
    </row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3">
    <mergeCell ref="A1:G1"/>
    <mergeCell ref="A2:G2"/>
    <mergeCell ref="B4:G4"/>
  </mergeCells>
  <conditionalFormatting sqref="E6:E15">
    <cfRule type="cellIs" dxfId="0" priority="1" operator="greaterThan">
      <formula>5000</formula>
    </cfRule>
    <cfRule type="cellIs" dxfId="1" priority="2" operator="between">
      <formula>1</formula>
      <formula>5000</formula>
    </cfRule>
    <cfRule type="cellIs" dxfId="2" priority="3" operator="equal">
      <formula>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C21"/>
  <sheetViews>
    <sheetView showGridLines="0" topLeftCell="A3" workbookViewId="0">
      <selection activeCell="I9" sqref="I9:AG10"/>
    </sheetView>
  </sheetViews>
  <sheetFormatPr defaultColWidth="9" defaultRowHeight="15" outlineLevelCol="2"/>
  <cols>
    <col min="1" max="1" width="1.5047619047619" customWidth="1"/>
    <col min="2" max="2" width="40.7142857142857" customWidth="1"/>
    <col min="3" max="3" width="107.428571428571" customWidth="1"/>
    <col min="4" max="4" width="2" customWidth="1"/>
  </cols>
  <sheetData>
    <row r="1" ht="34" customHeight="1" spans="1:3">
      <c r="A1" s="1" t="s">
        <v>188</v>
      </c>
    </row>
    <row r="3" ht="20" customHeight="1" spans="1:3">
      <c r="B3" s="2" t="s">
        <v>189</v>
      </c>
      <c r="C3" s="2" t="s">
        <v>190</v>
      </c>
    </row>
    <row r="4" ht="20" customHeight="1" spans="1:3">
      <c r="B4" s="3" t="s">
        <v>191</v>
      </c>
      <c r="C4" s="4" t="s">
        <v>192</v>
      </c>
    </row>
    <row r="5" ht="20" customHeight="1" spans="1:3">
      <c r="B5" s="5" t="s">
        <v>193</v>
      </c>
      <c r="C5" s="6" t="s">
        <v>194</v>
      </c>
    </row>
    <row r="6" ht="20" customHeight="1" spans="1:3">
      <c r="B6" s="3" t="s">
        <v>195</v>
      </c>
      <c r="C6" s="4" t="s">
        <v>196</v>
      </c>
    </row>
    <row r="7" ht="20" customHeight="1" spans="1:3">
      <c r="B7" s="5" t="s">
        <v>197</v>
      </c>
      <c r="C7" s="6" t="s">
        <v>198</v>
      </c>
    </row>
    <row r="8" ht="8" customHeight="1" spans="1:3">
      <c r="B8" t="s">
        <v>186</v>
      </c>
      <c r="C8" t="s">
        <v>186</v>
      </c>
    </row>
    <row r="9" ht="20" customHeight="1" spans="1:3">
      <c r="B9" s="2" t="s">
        <v>199</v>
      </c>
      <c r="C9" s="2" t="s">
        <v>200</v>
      </c>
    </row>
    <row r="10" ht="20" customHeight="1" spans="1:3">
      <c r="B10" s="3" t="s">
        <v>201</v>
      </c>
      <c r="C10" s="4" t="s">
        <v>202</v>
      </c>
    </row>
    <row r="11" ht="20" customHeight="1" spans="1:3">
      <c r="B11" s="5" t="s">
        <v>203</v>
      </c>
      <c r="C11" s="6" t="s">
        <v>204</v>
      </c>
    </row>
    <row r="12" ht="20" customHeight="1" spans="1:3">
      <c r="B12" s="3" t="s">
        <v>205</v>
      </c>
      <c r="C12" s="4" t="s">
        <v>206</v>
      </c>
    </row>
    <row r="13" ht="20" customHeight="1" spans="1:3">
      <c r="B13" s="5" t="s">
        <v>207</v>
      </c>
      <c r="C13" s="6" t="s">
        <v>208</v>
      </c>
    </row>
    <row r="14" ht="8" customHeight="1" spans="1:3">
      <c r="B14" t="s">
        <v>186</v>
      </c>
      <c r="C14" t="s">
        <v>186</v>
      </c>
    </row>
    <row r="15" ht="8" customHeight="1" spans="1:3">
      <c r="B15" s="2" t="s">
        <v>209</v>
      </c>
      <c r="C15" s="2" t="s">
        <v>186</v>
      </c>
    </row>
    <row r="16" ht="20" customHeight="1" spans="1:3">
      <c r="B16" s="3" t="s">
        <v>210</v>
      </c>
      <c r="C16" s="4" t="s">
        <v>211</v>
      </c>
    </row>
    <row r="17" ht="20" customHeight="1" spans="2:3">
      <c r="B17" s="5" t="s">
        <v>212</v>
      </c>
      <c r="C17" s="6" t="s">
        <v>213</v>
      </c>
    </row>
    <row r="18" ht="20" customHeight="1" spans="2:3">
      <c r="B18" s="3" t="s">
        <v>214</v>
      </c>
      <c r="C18" s="4" t="s">
        <v>215</v>
      </c>
    </row>
    <row r="19" ht="20" customHeight="1" spans="2:3">
      <c r="B19" s="5" t="s">
        <v>216</v>
      </c>
      <c r="C19" s="6" t="s">
        <v>217</v>
      </c>
    </row>
    <row r="20" ht="8" customHeight="1" spans="2:3">
      <c r="B20" t="s">
        <v>186</v>
      </c>
      <c r="C20" t="s">
        <v>186</v>
      </c>
    </row>
    <row r="21" ht="20" customHeight="1" spans="2:3">
      <c r="B21" s="5" t="s">
        <v>218</v>
      </c>
      <c r="C21" s="6" t="s">
        <v>219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📊 DASHBOARD</vt:lpstr>
      <vt:lpstr>📝 ENTER DATA</vt:lpstr>
      <vt:lpstr>💰 COSTS &amp; PROFIT</vt:lpstr>
      <vt:lpstr>📋 CREDIT TRACKER</vt:lpstr>
      <vt:lpstr>ℹ️ 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Doreen Wathimu</cp:lastModifiedBy>
  <dcterms:created xsi:type="dcterms:W3CDTF">2026-06-13T13:05:00Z</dcterms:created>
  <dcterms:modified xsi:type="dcterms:W3CDTF">2026-06-22T09:31:08Z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F9601CDAC776450392D53DE69C30573C_13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
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theme/themeOverride2.xml" ContentType="application/vnd.openxmlformats-officedocument.themeOverrid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0490" windowHeight="7020" firstSheet="3" activeTab="2"/>
  </bookViews>
  <sheets>
    <sheet name="DATA_INPUT" sheetId="1" r:id="rId1"/>
    <sheet name="README" sheetId="12" r:id="rId2"/>
    <sheet name="DASHBOARD" sheetId="4" r:id="rId3"/>
    <sheet name="LOOKUPS" sheetId="5" r:id="rId4"/>
    <sheet name="RAW_DATA" sheetId="2" r:id="rId5"/>
    <sheet name="PIVOT_TABLES" sheetId="3" r:id="rId6"/>
    <sheet name="DATA_QUALITY" sheetId="7" r:id="rId7"/>
    <sheet name="EDA" sheetId="9" r:id="rId8"/>
  </sheets>
  <definedNames>
    <definedName name="ServiceList">LOOKUPS!$A$2:$A$15</definedName>
    <definedName name="MonthList">LOOKUPS!$C$2:$C$13</definedName>
    <definedName name="DayList">LOOKUPS!$E$2:$E$8</definedName>
    <definedName name="tblTransactions">RAW_DATA!$1:$1048576</definedName>
  </definedNames>
  <calcPr calcId="191029"/>
  <pivotCaches>
    <pivotCache cacheId="0" r:id="rId9"/>
    <pivotCache cacheId="1" r:id="rId10"/>
    <pivotCache cacheId="2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<sst xmlns="http://schemas.openxmlformats.org/spreadsheetml/2006/main" count="2497" uniqueCount="314">
  <si>
    <t>Date</t>
  </si>
  <si>
    <t>Service</t>
  </si>
  <si>
    <t>Category</t>
  </si>
  <si>
    <t>Amount (KES)</t>
  </si>
  <si>
    <t>Payment Method</t>
  </si>
  <si>
    <t>Mpesa Balance</t>
  </si>
  <si>
    <t>Business Balance</t>
  </si>
  <si>
    <t>Notes</t>
  </si>
  <si>
    <t>ROYAL TRUMP BUSINESS INTELLIGENCE SYSTEM</t>
  </si>
  <si>
    <t>Client</t>
  </si>
  <si>
    <t>Royal Trump Enterprises</t>
  </si>
  <si>
    <t>Prepared By</t>
  </si>
  <si>
    <t>Doreen Wathimu</t>
  </si>
  <si>
    <t>Project</t>
  </si>
  <si>
    <t>Sales Intelligence Dashboard</t>
  </si>
  <si>
    <t>Version 1</t>
  </si>
  <si>
    <t>Business Objective</t>
  </si>
  <si>
    <t>Design a Business Intelligence System that transforms daily sales transactions into meaningful insights for</t>
  </si>
  <si>
    <t>decision-making. The system enables management to monitor revenue trends, identify high-performing</t>
  </si>
  <si>
    <t>services, evaluate category performance, and support future financial and credit management modules.</t>
  </si>
  <si>
    <t>Current Module:</t>
  </si>
  <si>
    <t>Future Modules:</t>
  </si>
  <si>
    <t>Financial Dashboard</t>
  </si>
  <si>
    <t>Credit Management Dashboard</t>
  </si>
  <si>
    <t>Automation &amp; Reporting</t>
  </si>
  <si>
    <t>ROYAL TRUMP ENTERPRISES</t>
  </si>
  <si>
    <t>Total Revenue</t>
  </si>
  <si>
    <t>Total Transactions</t>
  </si>
  <si>
    <t>Average Sale Value</t>
  </si>
  <si>
    <t>Highest Sale</t>
  </si>
  <si>
    <t>Service Description</t>
  </si>
  <si>
    <t>Months</t>
  </si>
  <si>
    <t>Days</t>
  </si>
  <si>
    <t>Payment Methods</t>
  </si>
  <si>
    <t>Black &amp; White Printing</t>
  </si>
  <si>
    <t>Printing</t>
  </si>
  <si>
    <t>January</t>
  </si>
  <si>
    <t>Monday</t>
  </si>
  <si>
    <t>Cash</t>
  </si>
  <si>
    <t>Colour Printing</t>
  </si>
  <si>
    <t>February</t>
  </si>
  <si>
    <t>Tuesday</t>
  </si>
  <si>
    <t>M-Pesa</t>
  </si>
  <si>
    <t>Photocopy</t>
  </si>
  <si>
    <t>March</t>
  </si>
  <si>
    <t>Wednesday</t>
  </si>
  <si>
    <t>Bank</t>
  </si>
  <si>
    <t>Lamination A4</t>
  </si>
  <si>
    <t>Lamination</t>
  </si>
  <si>
    <t>April</t>
  </si>
  <si>
    <t>Thursday</t>
  </si>
  <si>
    <t>Mixed</t>
  </si>
  <si>
    <t>Lamination ID</t>
  </si>
  <si>
    <t>May</t>
  </si>
  <si>
    <t>Friday</t>
  </si>
  <si>
    <t>Passport Photo</t>
  </si>
  <si>
    <t>Photography</t>
  </si>
  <si>
    <t>June</t>
  </si>
  <si>
    <t>Saturday</t>
  </si>
  <si>
    <t>DL Renewal</t>
  </si>
  <si>
    <t>NTSA</t>
  </si>
  <si>
    <t>July</t>
  </si>
  <si>
    <t>Sunday</t>
  </si>
  <si>
    <t>KRA PIN</t>
  </si>
  <si>
    <t>KRA</t>
  </si>
  <si>
    <t>August</t>
  </si>
  <si>
    <t>SHA Registration</t>
  </si>
  <si>
    <t>SHA</t>
  </si>
  <si>
    <t>September</t>
  </si>
  <si>
    <t>Binding</t>
  </si>
  <si>
    <t>October</t>
  </si>
  <si>
    <t>Scanning</t>
  </si>
  <si>
    <t>November</t>
  </si>
  <si>
    <t>ID Duplicating</t>
  </si>
  <si>
    <t>ID services</t>
  </si>
  <si>
    <t>December</t>
  </si>
  <si>
    <t>Airtime</t>
  </si>
  <si>
    <t>Miscellaneous</t>
  </si>
  <si>
    <t>Rent</t>
  </si>
  <si>
    <t>Rent / Fixed Expense</t>
  </si>
  <si>
    <t>Personal / Non-Business</t>
  </si>
  <si>
    <t>Withdrawal</t>
  </si>
  <si>
    <t>Owner Withdrawal</t>
  </si>
  <si>
    <t>Day</t>
  </si>
  <si>
    <t>Month</t>
  </si>
  <si>
    <t>Week</t>
  </si>
  <si>
    <t>Photocopying</t>
  </si>
  <si>
    <t>Jan 2026</t>
  </si>
  <si>
    <t>Copies</t>
  </si>
  <si>
    <t>Mock copier list + env</t>
  </si>
  <si>
    <t>ID + lamination</t>
  </si>
  <si>
    <t>Typing</t>
  </si>
  <si>
    <t>Engine to fix</t>
  </si>
  <si>
    <t>Insurance</t>
  </si>
  <si>
    <t>DL renewal</t>
  </si>
  <si>
    <t>DL &amp; Licensing</t>
  </si>
  <si>
    <t>Insurance + printing</t>
  </si>
  <si>
    <t>Fairland copies (19 ref) - 1710</t>
  </si>
  <si>
    <t>Env</t>
  </si>
  <si>
    <t>Envelopes</t>
  </si>
  <si>
    <t>Lynn copies</t>
  </si>
  <si>
    <t>Lamination + DL renewal</t>
  </si>
  <si>
    <t>Roha 1st + env</t>
  </si>
  <si>
    <t>Copier (35x5+10)</t>
  </si>
  <si>
    <t>N Sauce</t>
  </si>
  <si>
    <t>Other Services</t>
  </si>
  <si>
    <t>Passport</t>
  </si>
  <si>
    <t>ID &amp; Passport</t>
  </si>
  <si>
    <t>Find minutes</t>
  </si>
  <si>
    <t>Binding + copies</t>
  </si>
  <si>
    <t>Invoice</t>
  </si>
  <si>
    <t>ID + scan</t>
  </si>
  <si>
    <t>Plain paper</t>
  </si>
  <si>
    <t>Picture</t>
  </si>
  <si>
    <t>Photos</t>
  </si>
  <si>
    <t>Printing + env</t>
  </si>
  <si>
    <t>Finix copies + 1 list</t>
  </si>
  <si>
    <t>Sticker</t>
  </si>
  <si>
    <t>Stickers &amp; Posters</t>
  </si>
  <si>
    <t>Typing (1 page)</t>
  </si>
  <si>
    <t>Copies + print outs</t>
  </si>
  <si>
    <t>Copy</t>
  </si>
  <si>
    <t>Poster</t>
  </si>
  <si>
    <t>Motor vehicle agreement</t>
  </si>
  <si>
    <t>Government Services</t>
  </si>
  <si>
    <t>Mock copies + env</t>
  </si>
  <si>
    <t>Print + copy</t>
  </si>
  <si>
    <t>ID copy</t>
  </si>
  <si>
    <t>DL renewal + env</t>
  </si>
  <si>
    <t>AS photo</t>
  </si>
  <si>
    <t>Print + lamination</t>
  </si>
  <si>
    <t>Inspection</t>
  </si>
  <si>
    <t>Photocopies</t>
  </si>
  <si>
    <t>Letter + copy</t>
  </si>
  <si>
    <t>Motor sales</t>
  </si>
  <si>
    <t>DL</t>
  </si>
  <si>
    <t>Roha 1st</t>
  </si>
  <si>
    <t>Licence checking</t>
  </si>
  <si>
    <t>Jenin</t>
  </si>
  <si>
    <t>Scan</t>
  </si>
  <si>
    <t>Print (colour) + scan</t>
  </si>
  <si>
    <t>Print out + env</t>
  </si>
  <si>
    <t>Kevo</t>
  </si>
  <si>
    <t>Print out + binding</t>
  </si>
  <si>
    <t>ID copy (colour)</t>
  </si>
  <si>
    <t>Print (colour)</t>
  </si>
  <si>
    <t>Print out (black)</t>
  </si>
  <si>
    <t>Print + photocopy + eFlu</t>
  </si>
  <si>
    <t>Print + copies</t>
  </si>
  <si>
    <t>Insurance quotation</t>
  </si>
  <si>
    <t>Acceptance + e-citizen</t>
  </si>
  <si>
    <t>Fairland</t>
  </si>
  <si>
    <t>Print outs (colour)</t>
  </si>
  <si>
    <t>Print out</t>
  </si>
  <si>
    <t>E-citizen + lamination</t>
  </si>
  <si>
    <t>Print out copy</t>
  </si>
  <si>
    <t>CV + env</t>
  </si>
  <si>
    <t>Print</t>
  </si>
  <si>
    <t>ID copier</t>
  </si>
  <si>
    <t>Birth cert</t>
  </si>
  <si>
    <t>ID</t>
  </si>
  <si>
    <t>Printing copier</t>
  </si>
  <si>
    <t>Print copy</t>
  </si>
  <si>
    <t>Lynn</t>
  </si>
  <si>
    <t>Printing + scan</t>
  </si>
  <si>
    <t>Glue</t>
  </si>
  <si>
    <t>Envelope A4</t>
  </si>
  <si>
    <t>Printing + 10 copy</t>
  </si>
  <si>
    <t>ID replica</t>
  </si>
  <si>
    <t>Phone charging</t>
  </si>
  <si>
    <t>Print outs</t>
  </si>
  <si>
    <t>Typing + copy</t>
  </si>
  <si>
    <t>Print + scan</t>
  </si>
  <si>
    <t>Print colour</t>
  </si>
  <si>
    <t>Box</t>
  </si>
  <si>
    <t>Stepse statement</t>
  </si>
  <si>
    <t>A4 env</t>
  </si>
  <si>
    <t>Lamination + printing</t>
  </si>
  <si>
    <t>CV</t>
  </si>
  <si>
    <t>CV &amp; Documents</t>
  </si>
  <si>
    <t>Printing + poster r</t>
  </si>
  <si>
    <t>Printing colour</t>
  </si>
  <si>
    <t>Printing + scanning</t>
  </si>
  <si>
    <t>ID copier 2</t>
  </si>
  <si>
    <t>Insurance (paid pebaling Mercy)</t>
  </si>
  <si>
    <t>E-citizen</t>
  </si>
  <si>
    <t>DL renewal (Smart)</t>
  </si>
  <si>
    <t>Mock list + copies + env</t>
  </si>
  <si>
    <t>DL replica</t>
  </si>
  <si>
    <t>stepce Invoice</t>
  </si>
  <si>
    <t>Business permit + copies</t>
  </si>
  <si>
    <t>Jolim copies</t>
  </si>
  <si>
    <t>Finix copies + list</t>
  </si>
  <si>
    <t>Printing + photocopies</t>
  </si>
  <si>
    <t>DL + Insurance + copies</t>
  </si>
  <si>
    <t>Permit</t>
  </si>
  <si>
    <t>Copy 5+env 10</t>
  </si>
  <si>
    <t>Photos 300 + Permits 1480</t>
  </si>
  <si>
    <t>Receipt</t>
  </si>
  <si>
    <t>Finix motors</t>
  </si>
  <si>
    <t>Finix copies reading</t>
  </si>
  <si>
    <t>Insurance + lamination</t>
  </si>
  <si>
    <t>Vehicle inspection</t>
  </si>
  <si>
    <t>A5 envelope</t>
  </si>
  <si>
    <t>10 copy</t>
  </si>
  <si>
    <t>ID coloured copy</t>
  </si>
  <si>
    <t>Print out + copier + env</t>
  </si>
  <si>
    <t>Finix copier</t>
  </si>
  <si>
    <t>Mock copies</t>
  </si>
  <si>
    <t>Monsoon</t>
  </si>
  <si>
    <t>E-citizen 200 + Insurance 50</t>
  </si>
  <si>
    <t>Kevo copies</t>
  </si>
  <si>
    <t>Insurance (x2)</t>
  </si>
  <si>
    <t>Lynn auto spares</t>
  </si>
  <si>
    <t>Print + typing</t>
  </si>
  <si>
    <t>Kevo copier</t>
  </si>
  <si>
    <t>Monvoon</t>
  </si>
  <si>
    <t>Typing + copies</t>
  </si>
  <si>
    <t>Lamination + print out</t>
  </si>
  <si>
    <t>Insurance (x2) + lamination</t>
  </si>
  <si>
    <t>Saleh Invoices</t>
  </si>
  <si>
    <t>Police abstract</t>
  </si>
  <si>
    <t>Copier + env</t>
  </si>
  <si>
    <t>Stepse quotation</t>
  </si>
  <si>
    <t>Lamination + copy</t>
  </si>
  <si>
    <t>Insurance + env</t>
  </si>
  <si>
    <t>Karl parts</t>
  </si>
  <si>
    <t>Jolim copies + lid + env</t>
  </si>
  <si>
    <t>Copier</t>
  </si>
  <si>
    <t>Print outs + env</t>
  </si>
  <si>
    <t>Env AA use</t>
  </si>
  <si>
    <t>Stepse Statement</t>
  </si>
  <si>
    <t>Coloured prints</t>
  </si>
  <si>
    <t>Print scan</t>
  </si>
  <si>
    <t>Photo copy</t>
  </si>
  <si>
    <t>Scan (5)</t>
  </si>
  <si>
    <t>Photocopy + printing</t>
  </si>
  <si>
    <t>Printing and scanning</t>
  </si>
  <si>
    <t>A4 envelope</t>
  </si>
  <si>
    <t>Paid by Imbs city</t>
  </si>
  <si>
    <t>Passport copies (10)</t>
  </si>
  <si>
    <t>Print out (colour)</t>
  </si>
  <si>
    <t>Copy + printing</t>
  </si>
  <si>
    <t>Good conduct</t>
  </si>
  <si>
    <t>Printing + copy</t>
  </si>
  <si>
    <t>Envelope</t>
  </si>
  <si>
    <t>Printing 3 copy</t>
  </si>
  <si>
    <t>E-citizen DL renewal</t>
  </si>
  <si>
    <t>Editing + copy</t>
  </si>
  <si>
    <t>Printing + copies</t>
  </si>
  <si>
    <t>Printing editing</t>
  </si>
  <si>
    <t>Box + printing</t>
  </si>
  <si>
    <t>10 papers</t>
  </si>
  <si>
    <t>Permit + lamination</t>
  </si>
  <si>
    <t>Plain paper + envelope</t>
  </si>
  <si>
    <t>City County Licence</t>
  </si>
  <si>
    <t>Car transfer</t>
  </si>
  <si>
    <t>Licence</t>
  </si>
  <si>
    <t>Editing copy envelope</t>
  </si>
  <si>
    <t>Envelope (A15)</t>
  </si>
  <si>
    <t>Editing</t>
  </si>
  <si>
    <t>Editing &amp; Design</t>
  </si>
  <si>
    <t>Printing + envelope</t>
  </si>
  <si>
    <t>Printing 3 copy + box</t>
  </si>
  <si>
    <t>Printing + lamination</t>
  </si>
  <si>
    <t>JOLIM (JAMES)</t>
  </si>
  <si>
    <t>A4 Envelope</t>
  </si>
  <si>
    <t>Printing (Jawabw)</t>
  </si>
  <si>
    <t>License</t>
  </si>
  <si>
    <t>Cert + printing</t>
  </si>
  <si>
    <t>Printing coloured</t>
  </si>
  <si>
    <t>Coloured envelope</t>
  </si>
  <si>
    <t>Licence renewal</t>
  </si>
  <si>
    <t>Certificate</t>
  </si>
  <si>
    <t>Car Acceptance (e-citizen)</t>
  </si>
  <si>
    <t>Motor vehicle search</t>
  </si>
  <si>
    <t>B/S Permit printing</t>
  </si>
  <si>
    <t>ID lamination printing</t>
  </si>
  <si>
    <t>Engine printing copies</t>
  </si>
  <si>
    <t>Printing ID</t>
  </si>
  <si>
    <t>Ayub tech printing</t>
  </si>
  <si>
    <t>Licence lamination</t>
  </si>
  <si>
    <t>Printing (Roha)</t>
  </si>
  <si>
    <t>Feb 2026</t>
  </si>
  <si>
    <t>Sum of Amount (KES)</t>
  </si>
  <si>
    <t>Grand Total</t>
  </si>
  <si>
    <t>Mpesa Services</t>
  </si>
  <si>
    <t>(blank)</t>
  </si>
  <si>
    <t>UDAA</t>
  </si>
  <si>
    <t>Check</t>
  </si>
  <si>
    <t>Result</t>
  </si>
  <si>
    <t>Status</t>
  </si>
  <si>
    <t>Comment</t>
  </si>
  <si>
    <t>Total Records</t>
  </si>
  <si>
    <t>Done️</t>
  </si>
  <si>
    <t>After removing blank rows</t>
  </si>
  <si>
    <t>Total Columns</t>
  </si>
  <si>
    <t>Correct structure</t>
  </si>
  <si>
    <t>Blank Rows</t>
  </si>
  <si>
    <t>Entirely blank separator rows</t>
  </si>
  <si>
    <t>Action Taken</t>
  </si>
  <si>
    <t>Deleted</t>
  </si>
  <si>
    <t>Data cleaned successfully</t>
  </si>
  <si>
    <t>Blank Notes</t>
  </si>
  <si>
    <t>Expected</t>
  </si>
  <si>
    <t>Optional field</t>
  </si>
  <si>
    <t>Duplicate Records</t>
  </si>
  <si>
    <t>None Found</t>
  </si>
  <si>
    <t>Metric</t>
  </si>
  <si>
    <t>Value</t>
  </si>
  <si>
    <t>Highest Single Sale</t>
  </si>
  <si>
    <t>Number of Days with Sales</t>
  </si>
  <si>
    <t>Revenue</t>
  </si>
  <si>
    <t>Other (combined)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</si>
</sst>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[$KES]\ #,##0.00_);[Red]\([$KES]\ #,##0.00\)"/>
    <numFmt numFmtId="179" formatCode="0_);[Red]\(0\)"/>
    <numFmt numFmtId="180" formatCode="0.0_);[Red]\(0.0\)"/>
    <numFmt numFmtId="181" formatCode="[$KES]\ #,##0.00;[$KES]\ \-#,##0.00"/>
    <numFmt numFmtId="182" formatCode="m/d/yyyy;@"/>
    <numFmt numFmtId="183" formatCode="0.00_);[Red]\(0.00\)"/>
  </numFmts>
  <fonts count="33">
    <font>
      <sz val="11"/>
      <color theme="1"/>
      <name val="Calibri"/>
      <charset val="134"/>
      <scheme val="minor"/>
    </font>
    <font>
      <b/>
      <sz val="14"/>
      <color theme="0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FFFF"/>
      <name val="Calibri"/>
      <charset val="134"/>
    </font>
    <font>
      <sz val="10"/>
      <name val="Calibri"/>
      <charset val="134"/>
    </font>
    <font>
      <b/>
      <sz val="20"/>
      <color theme="0"/>
      <name val="Calibri"/>
      <charset val="134"/>
      <scheme val="minor"/>
    </font>
    <font>
      <b/>
      <sz val="18"/>
      <color theme="0"/>
      <name val="Calibri"/>
      <charset val="134"/>
      <scheme val="minor"/>
    </font>
    <font>
      <i/>
      <sz val="16"/>
      <color theme="0"/>
      <name val="Calibri"/>
      <charset val="134"/>
      <scheme val="minor"/>
    </font>
    <font>
      <b/>
      <sz val="11"/>
      <color rgb="FF002060"/>
      <name val="Calibri"/>
      <charset val="134"/>
      <scheme val="minor"/>
    </font>
    <font>
      <b/>
      <sz val="18"/>
      <color rgb="FF002060"/>
      <name val="Calibri"/>
      <charset val="134"/>
      <scheme val="minor"/>
    </font>
    <font>
      <sz val="20"/>
      <color theme="0"/>
      <name val="Calibri"/>
      <charset val="134"/>
      <scheme val="minor"/>
    </font>
    <font>
      <b/>
      <sz val="14.05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2F7FF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CFC62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7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8" borderId="11" applyNumberFormat="0" applyAlignment="0" applyProtection="0">
      <alignment vertical="center"/>
    </xf>
    <xf numFmtId="0" fontId="23" fillId="9" borderId="12" applyNumberFormat="0" applyAlignment="0" applyProtection="0">
      <alignment vertical="center"/>
    </xf>
    <xf numFmtId="0" fontId="24" fillId="9" borderId="11" applyNumberFormat="0" applyAlignment="0" applyProtection="0">
      <alignment vertical="center"/>
    </xf>
    <xf numFmtId="0" fontId="25" fillId="10" borderId="13" applyNumberFormat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1" fillId="2" borderId="0" xfId="0" applyFont="1" applyFill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2" fillId="2" borderId="0" xfId="0" applyFont="1" applyFill="1">
      <alignment vertical="center"/>
    </xf>
    <xf numFmtId="181" fontId="0" fillId="0" borderId="0" xfId="0" applyNumberFormat="1">
      <alignment vertical="center"/>
    </xf>
    <xf numFmtId="0" fontId="3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58" fontId="0" fillId="0" borderId="0" xfId="0" applyNumberFormat="1">
      <alignment vertical="center"/>
    </xf>
    <xf numFmtId="182" fontId="0" fillId="0" borderId="0" xfId="0" applyNumberFormat="1">
      <alignment vertical="center"/>
    </xf>
    <xf numFmtId="49" fontId="0" fillId="0" borderId="0" xfId="0" applyNumberFormat="1">
      <alignment vertical="center"/>
    </xf>
    <xf numFmtId="183" fontId="0" fillId="0" borderId="0" xfId="0" applyNumberFormat="1">
      <alignment vertical="center"/>
    </xf>
    <xf numFmtId="18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/>
    </xf>
    <xf numFmtId="183" fontId="4" fillId="3" borderId="0" xfId="0" applyNumberFormat="1" applyFont="1" applyFill="1" applyAlignment="1">
      <alignment horizontal="center" vertical="center"/>
    </xf>
    <xf numFmtId="182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right" vertical="center"/>
    </xf>
    <xf numFmtId="1" fontId="5" fillId="4" borderId="1" xfId="0" applyNumberFormat="1" applyFont="1" applyFill="1" applyBorder="1" applyAlignment="1">
      <alignment vertical="center"/>
    </xf>
    <xf numFmtId="182" fontId="5" fillId="0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vertical="center"/>
    </xf>
    <xf numFmtId="178" fontId="5" fillId="0" borderId="1" xfId="0" applyNumberFormat="1" applyFont="1" applyFill="1" applyBorder="1" applyAlignment="1">
      <alignment horizontal="right" vertical="center"/>
    </xf>
    <xf numFmtId="1" fontId="5" fillId="0" borderId="1" xfId="0" applyNumberFormat="1" applyFont="1" applyFill="1" applyBorder="1" applyAlignment="1">
      <alignment vertical="center"/>
    </xf>
    <xf numFmtId="0" fontId="5" fillId="4" borderId="1" xfId="0" applyNumberFormat="1" applyFont="1" applyFill="1" applyBorder="1" applyAlignment="1">
      <alignment vertical="center"/>
    </xf>
    <xf numFmtId="0" fontId="5" fillId="0" borderId="1" xfId="0" applyNumberFormat="1" applyFont="1" applyFill="1" applyBorder="1" applyAlignment="1">
      <alignment vertical="center"/>
    </xf>
    <xf numFmtId="178" fontId="0" fillId="0" borderId="0" xfId="3" applyNumberFormat="1">
      <alignment vertical="center"/>
    </xf>
    <xf numFmtId="0" fontId="3" fillId="2" borderId="0" xfId="0" applyFont="1" applyFill="1">
      <alignment vertical="center"/>
    </xf>
    <xf numFmtId="0" fontId="0" fillId="5" borderId="0" xfId="0" applyFill="1">
      <alignment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181" fontId="10" fillId="6" borderId="5" xfId="0" applyNumberFormat="1" applyFont="1" applyFill="1" applyBorder="1" applyAlignment="1">
      <alignment horizontal="center" vertical="center"/>
    </xf>
    <xf numFmtId="181" fontId="10" fillId="6" borderId="6" xfId="0" applyNumberFormat="1" applyFont="1" applyFill="1" applyBorder="1" applyAlignment="1">
      <alignment horizontal="center" vertical="center"/>
    </xf>
    <xf numFmtId="181" fontId="10" fillId="6" borderId="7" xfId="0" applyNumberFormat="1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top"/>
    </xf>
    <xf numFmtId="0" fontId="0" fillId="0" borderId="0" xfId="0" applyAlignment="1">
      <alignment horizontal="left" vertical="top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3" fillId="2" borderId="0" xfId="0" applyFont="1" applyFill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31">
    <dxf>
      <numFmt numFmtId="182" formatCode="m/d/yyyy;@"/>
    </dxf>
    <dxf>
      <numFmt numFmtId="49" formatCode="@"/>
    </dxf>
    <dxf>
      <numFmt numFmtId="49" formatCode="@"/>
    </dxf>
    <dxf>
      <numFmt numFmtId="49" formatCode="@"/>
    </dxf>
    <dxf>
      <numFmt numFmtId="178" formatCode="[$KES]\ #,##0.00_);[Red]\([$KES]\ #,##0.00\)"/>
    </dxf>
    <dxf>
      <numFmt numFmtId="49" formatCode="@"/>
    </dxf>
    <dxf>
      <numFmt numFmtId="1" formatCode="0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 val="1"/>
        <color rgb="FF000000"/>
      </font>
    </dxf>
    <dxf>
      <font>
        <b val="1"/>
        <color rgb="FF000000"/>
      </font>
    </dxf>
    <dxf>
      <font>
        <b val="1"/>
        <color rgb="FF000000"/>
      </font>
      <border>
        <top style="double">
          <color rgb="FF4F81BD"/>
        </top>
      </border>
    </dxf>
    <dxf>
      <font>
        <b val="1"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3" defaultTableStyle="TableStylePreset3_Accent1" defaultPivotStyle="PivotStylePreset2_Accent1">
    <tableStyle name="TableStylePreset3_Accent1" pivot="0" count="7" xr9:uid="{59DB682C-5494-4EDE-A608-00C9E5F0F923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TableStyleMedium2 2" pivot="0" count="7" xr9:uid="{6652F658-A5F6-430C-9E11-664BCFCE6D2B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  <tableStyle name="PivotStylePreset2_Accent1" table="0" count="10" xr9:uid="{267968C8-6FFD-4C36-ACC1-9EA1FD1885CA}">
      <tableStyleElement type="headerRow" dxfId="30"/>
      <tableStyleElement type="totalRow" dxfId="29"/>
      <tableStyleElement type="firstRowStripe" dxfId="28"/>
      <tableStyleElement type="firstColumnStripe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</tableStyles>
  <colors>
    <mruColors>
      <color rgb="002B8313"/>
      <color rgb="000B5FD1"/>
      <color rgb="00F9680D"/>
      <color rgb="00FFFFFF"/>
      <color rgb="00CFC62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eetMetadata" Target="metadata.xml"/><Relationship Id="rId13" Type="http://schemas.openxmlformats.org/officeDocument/2006/relationships/sharedStrings" Target="sharedStrings.xml"/><Relationship Id="rId12" Type="http://schemas.openxmlformats.org/officeDocument/2006/relationships/theme" Target="theme/theme1.xml"/><Relationship Id="rId11" Type="http://schemas.openxmlformats.org/officeDocument/2006/relationships/pivotCacheDefinition" Target="pivotCache/pivotCacheDefinition3.xml"/><Relationship Id="rId1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ColorStyle" Target="colors1.xml"/><Relationship Id="rId2" Type="http://schemas.microsoft.com/office/2011/relationships/chartStyle" Target="style1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[RoyalTrump_Dashboard_2026.xlsm]PIVOT_TABLES!PivotTable5</c:name>
    <c:fmtId val="0"/>
  </c:pivotSource>
  <c:chart>
    <c:title>
      <c:tx>
        <c:rich>
          <a:bodyPr rot="0" spcFirstLastPara="0" vertOverflow="ellipsis" vert="horz" wrap="square" anchor="ctr" anchorCtr="1" forceAA="0"/>
          <a:lstStyle/>
          <a:p>
            <a:pPr defTabSz="914400">
              <a:defRPr lang="zh-CN" sz="11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ea"/>
                <a:sym typeface="+mn-ea"/>
              </a:defRPr>
            </a:pPr>
            <a:r>
              <a:rPr sz="1100" b="1" u="sng">
                <a:latin typeface="+mn-lt"/>
                <a:ea typeface="+mn-ea"/>
                <a:cs typeface="+mn-lt"/>
                <a:sym typeface="+mn-ea"/>
              </a:rPr>
              <a:t>Monthly Revenue Trend</a:t>
            </a:r>
            <a:endParaRPr sz="1100" b="1" u="sng">
              <a:latin typeface="+mn-lt"/>
              <a:ea typeface="+mn-ea"/>
              <a:cs typeface="+mn-lt"/>
              <a:sym typeface="+mn-ea"/>
            </a:endParaRPr>
          </a:p>
        </c:rich>
      </c:tx>
      <c:layout>
        <c:manualLayout>
          <c:xMode val="edge"/>
          <c:yMode val="edge"/>
          <c:x val="0.00469225675272347"/>
          <c:y val="0.01073345259391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PIVOT_TABLES!$K$4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PIVOT_TABLES!$J$5:$J$7</c:f>
              <c:strCache>
                <c:ptCount val="2"/>
                <c:pt idx="0">
                  <c:v>Jan 2026</c:v>
                </c:pt>
                <c:pt idx="1">
                  <c:v>Feb 2026</c:v>
                </c:pt>
              </c:strCache>
            </c:strRef>
          </c:cat>
          <c:val>
            <c:numRef>
              <c:f>PIVOT_TABLES!$K$5:$K$7</c:f>
              <c:numCache>
                <c:formatCode>General</c:formatCode>
                <c:ptCount val="2"/>
                <c:pt idx="0">
                  <c:v>132566</c:v>
                </c:pt>
                <c:pt idx="1">
                  <c:v>270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866443478"/>
        <c:axId val="948560075"/>
      </c:lineChart>
      <c:catAx>
        <c:axId val="86644347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lumMod val="50000"/>
                <a:lumOff val="50000"/>
                <a:alpha val="2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</a:p>
        </c:txPr>
        <c:crossAx val="948560075"/>
        <c:crosses val="autoZero"/>
        <c:auto val="1"/>
        <c:lblAlgn val="ctr"/>
        <c:lblOffset val="100"/>
        <c:noMultiLvlLbl val="0"/>
      </c:catAx>
      <c:valAx>
        <c:axId val="9485600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</a:p>
        </c:txPr>
        <c:crossAx val="86644347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uri="{0b15fc19-7d7d-44ad-8c2d-2c3a37ce22c3}">
        <chartProps xmlns="https://web.wps.cn/et/2018/main" chartId="{7983f770-2144-47a2-8c54-403c31dd86cb}"/>
      </c:ext>
    </c:extLst>
  </c:chart>
  <c:spPr>
    <a:solidFill>
      <a:sysClr val="window" lastClr="FFFFFF">
        <a:lumMod val="95000"/>
      </a:sysClr>
    </a:solidFill>
    <a:ln w="6350" cap="flat" cmpd="sng" algn="ctr">
      <a:noFill/>
      <a:round/>
    </a:ln>
    <a:effectLst/>
  </c:spPr>
  <c:txPr>
    <a:bodyPr/>
    <a:lstStyle/>
    <a:p>
      <a:pPr>
        <a:defRPr lang="zh-CN">
          <a:solidFill>
            <a:schemeClr val="tx1">
              <a:lumMod val="75000"/>
              <a:lumOff val="25000"/>
            </a:schemeClr>
          </a:solidFill>
          <a:latin typeface="Microsoft YaHei" panose="020B0503020204020204" pitchFamily="34" charset="-122"/>
          <a:ea typeface="Microsoft YaHei" panose="020B0503020204020204" pitchFamily="34" charset="-122"/>
          <a:cs typeface="Microsoft YaHei" panose="020B0503020204020204" pitchFamily="34" charset="-122"/>
          <a:sym typeface="Microsoft YaHei" panose="020B0503020204020204" pitchFamily="34" charset="-122"/>
        </a:defRPr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[RoyalTrump_Dashboard_2026.xlsm]PIVOT_TABLES!PivotTable7</c:name>
    <c:fmtId val="0"/>
  </c:pivotSource>
  <c:chart>
    <c:title>
      <c:tx>
        <c:rich>
          <a:bodyPr rot="0" spcFirstLastPara="0" vertOverflow="ellipsis" vert="horz" wrap="square" anchor="ctr" anchorCtr="1" forceAA="0"/>
          <a:lstStyle/>
          <a:p>
            <a:pPr defTabSz="914400">
              <a:defRPr lang="zh-CN" sz="12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lt"/>
                <a:cs typeface="+mn-lt"/>
                <a:sym typeface="+mn-lt"/>
              </a:defRPr>
            </a:pPr>
            <a:r>
              <a:rPr sz="1200" b="1">
                <a:latin typeface="+mn-lt"/>
                <a:ea typeface="+mn-lt"/>
                <a:cs typeface="+mn-lt"/>
                <a:sym typeface="+mn-lt"/>
              </a:rPr>
              <a:t> </a:t>
            </a:r>
            <a:r>
              <a:rPr sz="1100" b="1" u="sng">
                <a:latin typeface="+mn-lt"/>
                <a:ea typeface="+mn-lt"/>
                <a:cs typeface="+mn-lt"/>
                <a:sym typeface="+mn-lt"/>
              </a:rPr>
              <a:t>Sales by Day of Week</a:t>
            </a:r>
            <a:endParaRPr sz="1100" b="1" u="sng">
              <a:latin typeface="+mn-lt"/>
              <a:ea typeface="+mn-lt"/>
              <a:cs typeface="+mn-lt"/>
              <a:sym typeface="+mn-lt"/>
            </a:endParaRPr>
          </a:p>
        </c:rich>
      </c:tx>
      <c:layout>
        <c:manualLayout>
          <c:xMode val="edge"/>
          <c:yMode val="edge"/>
          <c:x val="0.00466345406497746"/>
          <c:y val="0.03369839932603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PIVOT_TABLES!$K$19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PIVOT_TABLES!$J$20:$J$26</c:f>
              <c:strCache>
                <c:ptCount val="6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</c:strCache>
            </c:strRef>
          </c:cat>
          <c:val>
            <c:numRef>
              <c:f>PIVOT_TABLES!$K$20:$K$26</c:f>
              <c:numCache>
                <c:formatCode>General</c:formatCode>
                <c:ptCount val="6"/>
                <c:pt idx="0">
                  <c:v>20650</c:v>
                </c:pt>
                <c:pt idx="1">
                  <c:v>8870</c:v>
                </c:pt>
                <c:pt idx="2">
                  <c:v>8414</c:v>
                </c:pt>
                <c:pt idx="3">
                  <c:v>62930</c:v>
                </c:pt>
                <c:pt idx="4">
                  <c:v>16991</c:v>
                </c:pt>
                <c:pt idx="5">
                  <c:v>14981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714273"/>
        <c:axId val="198403896"/>
      </c:barChart>
      <c:catAx>
        <c:axId val="13571427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lumMod val="50000"/>
                <a:lumOff val="50000"/>
                <a:alpha val="2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lt"/>
                <a:cs typeface="+mn-lt"/>
                <a:sym typeface="+mn-lt"/>
              </a:defRPr>
            </a:pPr>
          </a:p>
        </c:txPr>
        <c:crossAx val="198403896"/>
        <c:crosses val="autoZero"/>
        <c:auto val="1"/>
        <c:lblAlgn val="ctr"/>
        <c:lblOffset val="100"/>
        <c:noMultiLvlLbl val="0"/>
      </c:catAx>
      <c:valAx>
        <c:axId val="198403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lt"/>
                <a:cs typeface="+mn-lt"/>
                <a:sym typeface="+mn-lt"/>
              </a:defRPr>
            </a:pPr>
          </a:p>
        </c:txPr>
        <c:crossAx val="135714273"/>
        <c:crosses val="autoZero"/>
        <c:crossBetween val="between"/>
      </c:valAx>
      <c:spPr>
        <a:noFill/>
        <a:ln w="6350"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6ae3c95-dc77-40de-988e-22dde6e66343}"/>
      </c:ext>
    </c:extLst>
  </c:chart>
  <c:spPr>
    <a:solidFill>
      <a:sysClr val="window" lastClr="FFFFFF">
        <a:lumMod val="95000"/>
      </a:sysClr>
    </a:solidFill>
    <a:ln w="6350" cap="flat" cmpd="sng" algn="ctr">
      <a:noFill/>
      <a:round/>
    </a:ln>
    <a:effectLst>
      <a:outerShdw blurRad="63500" dist="37357" dir="2700000" sx="0" sy="0" rotWithShape="0">
        <a:scrgbClr r="0" g="0" b="0"/>
      </a:outerShdw>
    </a:effectLst>
  </c:spPr>
  <c:txPr>
    <a:bodyPr/>
    <a:lstStyle/>
    <a:p>
      <a:pPr>
        <a:defRPr lang="zh-CN" sz="1000" b="1">
          <a:solidFill>
            <a:schemeClr val="tx1">
              <a:lumMod val="75000"/>
              <a:lumOff val="25000"/>
            </a:schemeClr>
          </a:solidFill>
          <a:latin typeface="+mn-lt"/>
          <a:ea typeface="+mn-lt"/>
          <a:cs typeface="+mn-lt"/>
          <a:sym typeface="+mn-lt"/>
        </a:defRPr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080" b="1" i="0" u="sng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sz="1080" u="sng"/>
              <a:t>Revenue by Category </a:t>
            </a:r>
            <a:endParaRPr sz="1080" u="sng"/>
          </a:p>
        </c:rich>
      </c:tx>
      <c:layout>
        <c:manualLayout>
          <c:xMode val="edge"/>
          <c:yMode val="edge"/>
          <c:x val="0.00523721503388786"/>
          <c:y val="0.048846675712347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EDA!$B$8</c:f>
              <c:strCache>
                <c:ptCount val="1"/>
                <c:pt idx="0">
                  <c:v>Revenue</c:v>
                </c:pt>
              </c:strCache>
            </c:strRef>
          </c:tx>
          <c:spPr>
            <a:sp3d contourW="9525"/>
          </c:spPr>
          <c:explosion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EDA!$A$9:$A$14</c:f>
              <c:strCache>
                <c:ptCount val="6"/>
                <c:pt idx="0">
                  <c:v>Other Services</c:v>
                </c:pt>
                <c:pt idx="1">
                  <c:v>Government Services</c:v>
                </c:pt>
                <c:pt idx="2">
                  <c:v>Printing</c:v>
                </c:pt>
                <c:pt idx="3">
                  <c:v>DL &amp; Licensing</c:v>
                </c:pt>
                <c:pt idx="4">
                  <c:v>Photocopying</c:v>
                </c:pt>
                <c:pt idx="5">
                  <c:v>Other (combined)</c:v>
                </c:pt>
              </c:strCache>
            </c:strRef>
          </c:cat>
          <c:val>
            <c:numRef>
              <c:f>EDA!$B$9:$B$14</c:f>
              <c:numCache>
                <c:formatCode>[$KES]\ #,##0.00;[$KES]\ \-#,##0.00</c:formatCode>
                <c:ptCount val="6"/>
                <c:pt idx="0">
                  <c:v>39324</c:v>
                </c:pt>
                <c:pt idx="1">
                  <c:v>25560</c:v>
                </c:pt>
                <c:pt idx="2">
                  <c:v>20143</c:v>
                </c:pt>
                <c:pt idx="3">
                  <c:v>15425</c:v>
                </c:pt>
                <c:pt idx="4">
                  <c:v>11545</c:v>
                </c:pt>
                <c:pt idx="5">
                  <c:v>20839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2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3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4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5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69ea633-3006-45e1-a164-94f979e00e17}"/>
      </c:ext>
    </c:extLst>
  </c:chart>
  <c:spPr>
    <a:solidFill>
      <a:sysClr val="window" lastClr="FFFFFF">
        <a:lumMod val="95000"/>
      </a:sysClr>
    </a:solidFill>
    <a:ln w="9525" cap="flat" cmpd="sng" algn="ctr">
      <a:noFill/>
      <a:round/>
    </a:ln>
    <a:effectLst/>
  </c:spPr>
  <c:txPr>
    <a:bodyPr/>
    <a:lstStyle/>
    <a:p>
      <a:pPr>
        <a:defRPr lang="en-US" sz="900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[RoyalTrump_Dashboard_2026.xlsm]PIVOT_TABLES!PivotTable9</c:name>
    <c:fmtId val="0"/>
  </c:pivotSource>
  <c:chart>
    <c:title>
      <c:tx>
        <c:rich>
          <a:bodyPr rot="0" spcFirstLastPara="0" vertOverflow="ellipsis" vert="horz" wrap="square" anchor="ctr" anchorCtr="1" forceAA="0"/>
          <a:lstStyle/>
          <a:p>
            <a:pPr defTabSz="914400">
              <a:defRPr lang="zh-CN" sz="900" b="1" i="0" u="sng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  <a:r>
              <a:rPr lang="en-US" altLang="zh-CN" sz="1080" u="sng">
                <a:latin typeface="+mn-lt"/>
                <a:cs typeface="+mn-lt"/>
              </a:rPr>
              <a:t>Revenue By Service</a:t>
            </a:r>
            <a:endParaRPr lang="en-US" altLang="zh-CN" sz="1080" u="sng">
              <a:latin typeface="+mn-lt"/>
              <a:cs typeface="+mn-lt"/>
            </a:endParaRPr>
          </a:p>
        </c:rich>
      </c:tx>
      <c:layout>
        <c:manualLayout>
          <c:xMode val="edge"/>
          <c:yMode val="edge"/>
          <c:x val="0.0179802217560683"/>
          <c:y val="0.044959128065395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PIVOT_TABLES!$E$4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10800000" scaled="0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 forceAA="0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icrosoft YaHei" panose="020B0503020204020204" pitchFamily="34" charset="-122"/>
                    <a:ea typeface="Microsoft YaHei" panose="020B0503020204020204" pitchFamily="34" charset="-122"/>
                    <a:cs typeface="Microsoft YaHei" panose="020B0503020204020204" pitchFamily="34" charset="-122"/>
                    <a:sym typeface="Microsoft YaHei" panose="020B0503020204020204" pitchFamily="34" charset="-122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PIVOT_TABLES!$D$5:$D$10</c:f>
              <c:strCache>
                <c:ptCount val="5"/>
                <c:pt idx="0">
                  <c:v>Printing</c:v>
                </c:pt>
                <c:pt idx="1">
                  <c:v>City County Licence</c:v>
                </c:pt>
                <c:pt idx="2">
                  <c:v>Insurance</c:v>
                </c:pt>
                <c:pt idx="3">
                  <c:v>DL renewal</c:v>
                </c:pt>
                <c:pt idx="4">
                  <c:v>Car transfer</c:v>
                </c:pt>
              </c:strCache>
            </c:strRef>
          </c:cat>
          <c:val>
            <c:numRef>
              <c:f>PIVOT_TABLES!$E$5:$E$10</c:f>
              <c:numCache>
                <c:formatCode>General</c:formatCode>
                <c:ptCount val="5"/>
                <c:pt idx="0">
                  <c:v>7621</c:v>
                </c:pt>
                <c:pt idx="1">
                  <c:v>7500</c:v>
                </c:pt>
                <c:pt idx="2">
                  <c:v>4510</c:v>
                </c:pt>
                <c:pt idx="3">
                  <c:v>2700</c:v>
                </c:pt>
                <c:pt idx="4">
                  <c:v>2200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594116720"/>
        <c:axId val="597291942"/>
      </c:barChart>
      <c:catAx>
        <c:axId val="594116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lumMod val="50000"/>
                <a:lumOff val="50000"/>
                <a:alpha val="2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</a:p>
        </c:txPr>
        <c:crossAx val="597291942"/>
        <c:crosses val="autoZero"/>
        <c:auto val="1"/>
        <c:lblAlgn val="ctr"/>
        <c:lblOffset val="100"/>
        <c:noMultiLvlLbl val="0"/>
      </c:catAx>
      <c:valAx>
        <c:axId val="59729194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</a:p>
        </c:txPr>
        <c:crossAx val="59411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22aacfc-38cb-4e08-9426-af98eac307fa}"/>
      </c:ext>
    </c:extLst>
  </c:chart>
  <c:spPr>
    <a:solidFill>
      <a:sysClr val="window" lastClr="FFFFFF">
        <a:lumMod val="95000"/>
      </a:sysClr>
    </a:solidFill>
    <a:ln w="6350" cap="flat" cmpd="sng" algn="ctr">
      <a:noFill/>
      <a:round/>
    </a:ln>
    <a:effectLst/>
  </c:spPr>
  <c:txPr>
    <a:bodyPr/>
    <a:lstStyle/>
    <a:p>
      <a:pPr>
        <a:defRPr lang="zh-CN" b="0">
          <a:solidFill>
            <a:schemeClr val="tx1">
              <a:lumMod val="75000"/>
              <a:lumOff val="25000"/>
            </a:schemeClr>
          </a:solidFill>
          <a:latin typeface="Microsoft YaHei" panose="020B0503020204020204" pitchFamily="34" charset="-122"/>
          <a:ea typeface="Microsoft YaHei" panose="020B0503020204020204" pitchFamily="34" charset="-122"/>
          <a:cs typeface="Microsoft YaHei" panose="020B0503020204020204" pitchFamily="34" charset="-122"/>
          <a:sym typeface="Microsoft YaHei" panose="020B0503020204020204" pitchFamily="34" charset="-122"/>
        </a:defRPr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9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solidFill>
          <a:schemeClr val="bg1"/>
        </a:solidFill>
      </a:ln>
      <a:effectLst/>
      <a:scene3d>
        <a:camera prst="orthographicFront"/>
        <a:lightRig rig="threePt" dir="t"/>
      </a:scene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12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108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10800000" scaled="0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249555</xdr:colOff>
      <xdr:row>18</xdr:row>
      <xdr:rowOff>76200</xdr:rowOff>
    </xdr:from>
    <xdr:to>
      <xdr:col>11</xdr:col>
      <xdr:colOff>532765</xdr:colOff>
      <xdr:row>30</xdr:row>
      <xdr:rowOff>30480</xdr:rowOff>
    </xdr:to>
    <xdr:graphicFrame>
      <xdr:nvGraphicFramePr>
        <xdr:cNvPr id="7" name="Chart 6" descr="7b0a202020202263686172745265734964223a20223230343731323236220a7d0a"/>
        <xdr:cNvGraphicFramePr/>
      </xdr:nvGraphicFramePr>
      <xdr:xfrm>
        <a:off x="4097655" y="3895725"/>
        <a:ext cx="4255135" cy="2240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18</xdr:row>
      <xdr:rowOff>66040</xdr:rowOff>
    </xdr:from>
    <xdr:to>
      <xdr:col>6</xdr:col>
      <xdr:colOff>246380</xdr:colOff>
      <xdr:row>30</xdr:row>
      <xdr:rowOff>41275</xdr:rowOff>
    </xdr:to>
    <xdr:graphicFrame>
      <xdr:nvGraphicFramePr>
        <xdr:cNvPr id="10" name="Chart 9" descr="7b0a202020202263686172745265734964223a20223230343732303435220a7d0a"/>
        <xdr:cNvGraphicFramePr/>
      </xdr:nvGraphicFramePr>
      <xdr:xfrm>
        <a:off x="9525" y="3885565"/>
        <a:ext cx="4084955" cy="22612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66040</xdr:colOff>
      <xdr:row>5</xdr:row>
      <xdr:rowOff>18415</xdr:rowOff>
    </xdr:from>
    <xdr:to>
      <xdr:col>6</xdr:col>
      <xdr:colOff>340360</xdr:colOff>
      <xdr:row>17</xdr:row>
      <xdr:rowOff>72390</xdr:rowOff>
    </xdr:to>
    <xdr:graphicFrame>
      <xdr:nvGraphicFramePr>
        <xdr:cNvPr id="11" name="Chart 10"/>
        <xdr:cNvGraphicFramePr/>
      </xdr:nvGraphicFramePr>
      <xdr:xfrm>
        <a:off x="66040" y="1361440"/>
        <a:ext cx="4122420" cy="23399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361950</xdr:colOff>
      <xdr:row>5</xdr:row>
      <xdr:rowOff>37465</xdr:rowOff>
    </xdr:from>
    <xdr:to>
      <xdr:col>12</xdr:col>
      <xdr:colOff>18415</xdr:colOff>
      <xdr:row>17</xdr:row>
      <xdr:rowOff>81915</xdr:rowOff>
    </xdr:to>
    <xdr:graphicFrame>
      <xdr:nvGraphicFramePr>
        <xdr:cNvPr id="21" name="Chart 20" descr="7b0a202020202263686172745265734964223a202234363530303930220a7d0a"/>
        <xdr:cNvGraphicFramePr/>
      </xdr:nvGraphicFramePr>
      <xdr:xfrm>
        <a:off x="4210050" y="1380490"/>
        <a:ext cx="4237990" cy="23304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197.6288078704" refreshedBy="USER" recordCount="605">
  <cacheSource type="worksheet">
    <worksheetSource ref="A1:G1640" sheet="RAW_DATA"/>
  </cacheSource>
  <cacheFields count="7">
    <cacheField name="Date" numFmtId="182">
      <sharedItems containsString="0" containsBlank="1" containsNonDate="0" containsDate="1" minDate="2026-01-12T00:00:00" maxDate="2026-02-02T00:00:00" count="20">
        <d v="2026-01-12T00:00:00"/>
        <d v="2026-01-13T00:00:00"/>
        <d v="2026-01-14T00:00:00"/>
        <d v="2026-01-15T00:00:00"/>
        <d v="2026-01-16T00:00:00"/>
        <d v="2026-01-17T00:00:00"/>
        <d v="2026-01-19T00:00:00"/>
        <d v="2026-01-20T00:00:00"/>
        <d v="2026-01-21T00:00:00"/>
        <d v="2026-01-22T00:00:00"/>
        <d v="2026-01-23T00:00:00"/>
        <d v="2026-01-24T00:00:00"/>
        <d v="2026-01-26T00:00:00"/>
        <d v="2026-01-27T00:00:00"/>
        <d v="2026-01-28T00:00:00"/>
        <d v="2026-01-29T00:00:00"/>
        <d v="2026-01-30T00:00:00"/>
        <d v="2026-01-31T00:00:00"/>
        <d v="2026-02-02T00:00:00"/>
        <m/>
      </sharedItems>
    </cacheField>
    <cacheField name="Day" numFmtId="0">
      <sharedItems containsBlank="1" count="7">
        <s v="Monday"/>
        <s v="Tuesday"/>
        <s v="Wednesday"/>
        <s v="Thursday"/>
        <s v="Friday"/>
        <s v="Saturday"/>
        <m/>
      </sharedItems>
    </cacheField>
    <cacheField name="Service Description" numFmtId="49">
      <sharedItems containsBlank="1" count="222">
        <s v="Photocopy"/>
        <s v="Copies"/>
        <s v="Printing"/>
        <s v="Mock copier list + env"/>
        <s v="ID + lamination"/>
        <s v="Typing"/>
        <s v="Lamination"/>
        <s v="Engine to fix"/>
        <s v="Insurance"/>
        <s v="DL renewal"/>
        <s v="Insurance + printing"/>
        <s v="Fairland copies (19 ref) - 1710"/>
        <s v="Env"/>
        <s v="Lynn copies"/>
        <s v="Lamination + DL renewal"/>
        <s v="Roha 1st + env"/>
        <s v="Copier (35x5+10)"/>
        <s v="N Sauce"/>
        <s v="Passport"/>
        <s v="Find minutes"/>
        <s v="Binding + copies"/>
        <s v="Invoice"/>
        <s v="ID + scan"/>
        <s v="Plain paper"/>
        <s v="Picture"/>
        <s v="Printing + env"/>
        <s v="Binding"/>
        <s v="Finix copies + 1 list"/>
        <s v="Sticker"/>
        <s v="Typing (1 page)"/>
        <s v="Copies + print outs"/>
        <s v="Copy"/>
        <s v="Poster"/>
        <s v="Motor water agreement"/>
        <s v="Mock copies + env"/>
        <s v="Print + copy"/>
        <s v="ID cities"/>
        <s v="DL renewal + env"/>
        <s v="AS photo"/>
        <s v="Alepha arrears"/>
        <s v="Print + lamination"/>
        <s v="Inspection"/>
        <s v="Photocopier"/>
        <s v="Letter + copy"/>
        <s v="Ardhwara"/>
        <s v="Motor sales"/>
        <s v="DL"/>
        <s v="Roha 1st"/>
        <s v="Licence checking"/>
        <s v="Jenin"/>
        <s v="Kopus 400+657+357"/>
        <s v="Scan"/>
        <s v="Print (colour) + scan"/>
        <s v="Print out + env"/>
        <s v="Kevo"/>
        <s v="Print out + binding"/>
        <s v="ID copy (colour)"/>
        <s v="Klokabiz"/>
        <s v="Print (colour)"/>
        <s v="Print out (black)"/>
        <s v="Print + photocopy + eFlu"/>
        <s v="Print + copies"/>
        <s v="Insurance quotation"/>
        <s v="Acceptance + e-citizen"/>
        <s v="Fairland"/>
        <s v="Print outs (colour)"/>
        <s v="Print out"/>
        <s v="E-citizen + lamination"/>
        <s v="Print out copy"/>
        <s v="Jaleh ISH auto garage"/>
        <s v="1bin batula (mercy)"/>
        <s v="CV + env"/>
        <s v="Print"/>
        <s v="Scanning"/>
        <s v="ID copier"/>
        <s v="Birth cert"/>
        <s v="ID"/>
        <s v="Printing copier"/>
        <s v="Print copy"/>
        <s v="Lynn"/>
        <s v="Printing + scan"/>
        <s v="Glue"/>
        <s v="Envelope A4"/>
        <s v="Printing + 10 copy"/>
        <s v="ID replica"/>
        <s v="Phone charging"/>
        <s v="Print outs"/>
        <s v="Typing + copy"/>
        <s v="Print + scan"/>
        <s v="Print colour"/>
        <s v="Box"/>
        <s v="Jtepce statement"/>
        <s v="A4 env"/>
        <s v="Lamination + printing"/>
        <s v="CV"/>
        <s v="Printing + poster r"/>
        <s v="Printing colour"/>
        <s v="Printing + scanning"/>
        <s v="ID copier 2"/>
        <s v="Jimteen"/>
        <s v="Insurance (paid pebaling Mercy)"/>
        <s v="E-citizen"/>
        <s v="DL renewal (Smart)"/>
        <s v="Mock list + copies + env"/>
        <s v="DL replica"/>
        <s v="Jtepce Invoice"/>
        <s v="Business permit + copies"/>
        <s v="Levihafu + DL renewal"/>
        <s v="Jolim copies"/>
        <s v="Transport (vehicle)"/>
        <s v="Finix copies + list"/>
        <s v="PAc"/>
        <s v="Printing + photocopies"/>
        <s v="4 DL ens"/>
        <s v="Permit"/>
        <s v="Copy 5+env 10"/>
        <s v="Photos 300 + Permits 1480"/>
        <s v="Receipt"/>
        <s v="Finix motors"/>
        <s v="Token"/>
        <s v="Token for uber"/>
        <s v="Finix copies reading"/>
        <s v="Insurance + lamination"/>
        <s v="Vehicle inspection"/>
        <s v="AS env"/>
        <s v="10 copy"/>
        <s v="1bin batuta (mercy)"/>
        <s v="ID coloured copy"/>
        <s v="NA env"/>
        <s v="Print out + copier + env"/>
        <s v="Finix copier"/>
        <s v="Mock copies"/>
        <s v="Monvoon"/>
        <s v="Tranqu"/>
        <s v="Kalima"/>
        <s v="E-citizen 200 + Insurance 50"/>
        <s v="Kevo copies"/>
        <s v="Insurance (x2)"/>
        <s v="Lynn auto spares"/>
        <s v="Print + typing"/>
        <s v="Kevo copier"/>
        <s v="Typing + copies"/>
        <s v="Lamination + print out"/>
        <s v="Lipi na Mpesa poster"/>
        <s v="Insurance (x2) + lamination"/>
        <s v="Saleh Invoices"/>
        <s v="Police abstract"/>
        <s v="Copier + env"/>
        <s v="Jtepce quotation"/>
        <s v="Lamination + copy"/>
        <s v="Jaony bags 1per (Jtepce)"/>
        <s v="Insurance + env"/>
        <s v="Kart parts"/>
        <s v="Poster for mele"/>
        <s v="Jolim copies + lid + env"/>
        <s v="Copier"/>
        <s v="Print outs + env"/>
        <s v="Env AA use"/>
        <s v="DL + Insurance + copies"/>
        <s v="Agfo Number plus 2000+310"/>
        <s v="ID copy"/>
        <s v="Coloured prints"/>
        <s v="Print scan"/>
        <s v="Photo copy"/>
        <s v="Mpesa withdrawal"/>
        <s v="Lamination A4"/>
        <s v="Scan (5)"/>
        <s v="Photocopy + printing"/>
        <s v="Printing and scanning"/>
        <s v="A4 envelope"/>
        <s v="Paid by Imbs city"/>
        <s v="Passport copies (10)"/>
        <s v="Print out (colour)"/>
        <s v="Copy + printing"/>
        <s v="Good conduct"/>
        <s v="Printing + copy"/>
        <s v="Envelope"/>
        <s v="Printing 3 copy"/>
        <s v="E-citizen DL renewal"/>
        <s v="Editing + copy"/>
        <s v="Printing + copies"/>
        <s v="KQA Date Payment"/>
        <s v="KQA Date Payment (1060)"/>
        <s v="Mpesa bal"/>
        <s v="Printing editing"/>
        <s v="Box + printing"/>
        <s v="10 papers"/>
        <s v="Permit + lamination"/>
        <s v="RENT PAID"/>
        <s v="Plain paper + envelope"/>
        <s v="City County Licence"/>
        <s v="Printing days"/>
        <s v="UDAA KOASNS transfer"/>
        <s v="UDAA KOBHVQ transfer"/>
        <s v="Mpers 3775 moved to pocket"/>
        <s v="Licence"/>
        <s v="Editing copy envelope"/>
        <s v="Envelope (A15)"/>
        <s v="Editing"/>
        <s v="Printing + envelope"/>
        <s v="Printing 3 copy + box"/>
        <s v="Printing + lamination"/>
        <s v="JOLIM (JAMES)"/>
        <s v="A5 envelope"/>
        <s v="Printing (Jawabw)"/>
        <s v="License"/>
        <s v="Cert + printing"/>
        <s v="Printing coloured"/>
        <s v="Coloured envelope"/>
        <s v="Licence renewal"/>
        <s v="Certificate"/>
        <s v="Car Acceptance (e-citizen)"/>
        <s v="Motor vehicle search"/>
        <s v="BLS Permit printing"/>
        <s v="ID lamination printing"/>
        <s v="Engine printing copies"/>
        <s v="Printing ID"/>
        <s v="Ayutech printing"/>
        <s v="ID tamination"/>
        <s v="At Licence lamination"/>
        <s v="Printing (Roha)"/>
        <m/>
      </sharedItems>
    </cacheField>
    <cacheField name="Category" numFmtId="49">
      <sharedItems containsBlank="1" count="18">
        <s v="Photocopying"/>
        <s v="Printing"/>
        <s v="Lamination"/>
        <s v="Typing"/>
        <s v="Other Services"/>
        <s v="Insurance"/>
        <s v="DL &amp; Licensing"/>
        <s v="Envelopes"/>
        <s v="ID &amp; Passport"/>
        <s v="Scanning"/>
        <s v="Photos"/>
        <s v="Binding"/>
        <s v="Stickers &amp; Posters"/>
        <s v="Government Services"/>
        <s v="CV &amp; Documents"/>
        <s v="Mpesa Services"/>
        <s v="Editing &amp; Design"/>
        <m/>
      </sharedItems>
    </cacheField>
    <cacheField name="Amount (KES)" numFmtId="0">
      <sharedItems containsString="0" containsBlank="1" containsNumber="1" containsInteger="1" minValue="0" maxValue="14500" count="79">
        <n v="5"/>
        <n v="20"/>
        <n v="60"/>
        <n v="80"/>
        <n v="125"/>
        <n v="130"/>
        <n v="40"/>
        <n v="70"/>
        <n v="200"/>
        <n v="50"/>
        <n v="250"/>
        <n v="1710"/>
        <n v="85"/>
        <n v="380"/>
        <n v="185"/>
        <n v="100"/>
        <n v="145"/>
        <n v="120"/>
        <n v="30"/>
        <n v="10"/>
        <n v="290"/>
        <n v="335"/>
        <n v="220"/>
        <n v="210"/>
        <n v="150"/>
        <n v="990"/>
        <n v="140"/>
        <n v="105"/>
        <n v="300"/>
        <n v="260"/>
        <n v="630"/>
        <n v="1414"/>
        <n v="1500"/>
        <n v="180"/>
        <n v="170"/>
        <n v="75"/>
        <n v="15"/>
        <n v="110"/>
        <n v="1155"/>
        <n v="1380"/>
        <n v="90"/>
        <n v="25"/>
        <n v="400"/>
        <n v="280"/>
        <n v="520"/>
        <n v="1375"/>
        <n v="135"/>
        <n v="500"/>
        <n v="225"/>
        <n v="1780"/>
        <n v="2300"/>
        <n v="700"/>
        <n v="7"/>
        <n v="360"/>
        <n v="1400"/>
        <n v="455"/>
        <n v="1000"/>
        <n v="55"/>
        <n v="2190"/>
        <n v="160"/>
        <n v="550"/>
        <n v="2310"/>
        <n v="265"/>
        <n v="600"/>
        <n v="650"/>
        <n v="230"/>
        <n v="65"/>
        <n v="1060"/>
        <n v="3879"/>
        <n v="45"/>
        <n v="350"/>
        <n v="540"/>
        <n v="14500"/>
        <n v="7500"/>
        <n v="3775"/>
        <n v="530"/>
        <n v="430"/>
        <n v="451"/>
        <m/>
      </sharedItems>
    </cacheField>
    <cacheField name="Month" numFmtId="49">
      <sharedItems containsBlank="1" count="3">
        <s v="Jan 2026"/>
        <s v="Feb 2026"/>
        <m/>
      </sharedItems>
    </cacheField>
    <cacheField name="Week" numFmtId="0">
      <sharedItems containsString="0" containsBlank="1" containsNumber="1" containsInteger="1" minValue="0" maxValue="6" count="5">
        <n v="3"/>
        <n v="4"/>
        <n v="5"/>
        <n v="6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197.6859375" refreshedBy="USER" recordCount="604">
  <cacheSource type="worksheet">
    <worksheetSource ref="A1:G1640" sheet="RAW_DATA"/>
  </cacheSource>
  <cacheFields count="7">
    <cacheField name="Date" numFmtId="182">
      <sharedItems containsSemiMixedTypes="0" containsString="0" containsNonDate="0" containsDate="1" minDate="2026-01-12T00:00:00" maxDate="2026-02-02T00:00:00" count="19">
        <d v="2026-01-12T00:00:00"/>
        <d v="2026-01-13T00:00:00"/>
        <d v="2026-01-14T00:00:00"/>
        <d v="2026-01-15T00:00:00"/>
        <d v="2026-01-16T00:00:00"/>
        <d v="2026-01-17T00:00:00"/>
        <d v="2026-01-19T00:00:00"/>
        <d v="2026-01-20T00:00:00"/>
        <d v="2026-01-21T00:00:00"/>
        <d v="2026-01-22T00:00:00"/>
        <d v="2026-01-23T00:00:00"/>
        <d v="2026-01-24T00:00:00"/>
        <d v="2026-01-26T00:00:00"/>
        <d v="2026-01-27T00:00:00"/>
        <d v="2026-01-28T00:00:00"/>
        <d v="2026-01-29T00:00:00"/>
        <d v="2026-01-30T00:00:00"/>
        <d v="2026-01-31T00:00:00"/>
        <d v="2026-02-02T00:00:00"/>
      </sharedItems>
    </cacheField>
    <cacheField name="Day" numFmtId="49">
      <sharedItems count="6">
        <s v="Monday"/>
        <s v="Tuesday"/>
        <s v="Wednesday"/>
        <s v="Thursday"/>
        <s v="Friday"/>
        <s v="Saturday"/>
      </sharedItems>
    </cacheField>
    <cacheField name="Service Description" numFmtId="49">
      <sharedItems count="221">
        <s v="Photocopy"/>
        <s v="Copies"/>
        <s v="Printing"/>
        <s v="Mock copier list + env"/>
        <s v="ID + lamination"/>
        <s v="Typing"/>
        <s v="Lamination"/>
        <s v="Engine to fix"/>
        <s v="Insurance"/>
        <s v="DL renewal"/>
        <s v="Insurance + printing"/>
        <s v="Fairland copies (19 ref) - 1710"/>
        <s v="Env"/>
        <s v="Lynn copies"/>
        <s v="Lamination + DL renewal"/>
        <s v="Roha 1st + env"/>
        <s v="Copier (35x5+10)"/>
        <s v="N Sauce"/>
        <s v="Passport"/>
        <s v="Find minutes"/>
        <s v="Binding + copies"/>
        <s v="Invoice"/>
        <s v="ID + scan"/>
        <s v="Plain paper"/>
        <s v="Picture"/>
        <s v="Printing + env"/>
        <s v="Binding"/>
        <s v="Finix copies + 1 list"/>
        <s v="Sticker"/>
        <s v="Typing (1 page)"/>
        <s v="Copies + print outs"/>
        <s v="Copy"/>
        <s v="Poster"/>
        <s v="Motor water agreement"/>
        <s v="Mock copies + env"/>
        <s v="Print + copy"/>
        <s v="ID cities"/>
        <s v="DL renewal + env"/>
        <s v="AS photo"/>
        <s v="Alepha arrears"/>
        <s v="Print + lamination"/>
        <s v="Inspection"/>
        <s v="Photocopier"/>
        <s v="Letter + copy"/>
        <s v="Ardhwara"/>
        <s v="Motor sales"/>
        <s v="DL"/>
        <s v="Roha 1st"/>
        <s v="Licence checking"/>
        <s v="Jenin"/>
        <s v="Kopus 400+657+357"/>
        <s v="Scan"/>
        <s v="Print (colour) + scan"/>
        <s v="Print out + env"/>
        <s v="Kevo"/>
        <s v="Print out + binding"/>
        <s v="ID copy (colour)"/>
        <s v="Klokabiz"/>
        <s v="Print (colour)"/>
        <s v="Print out (black)"/>
        <s v="Print + photocopy + eFlu"/>
        <s v="Print + copies"/>
        <s v="Insurance quotation"/>
        <s v="Acceptance + e-citizen"/>
        <s v="Fairland"/>
        <s v="Print outs (colour)"/>
        <s v="Print out"/>
        <s v="E-citizen + lamination"/>
        <s v="Print out copy"/>
        <s v="Jaleh ISH auto garage"/>
        <s v="1bin batula (mercy)"/>
        <s v="CV + env"/>
        <s v="Print"/>
        <s v="Scanning"/>
        <s v="ID copier"/>
        <s v="Birth cert"/>
        <s v="ID"/>
        <s v="Printing copier"/>
        <s v="Print copy"/>
        <s v="Lynn"/>
        <s v="Printing + scan"/>
        <s v="Glue"/>
        <s v="Envelope A4"/>
        <s v="Printing + 10 copy"/>
        <s v="ID replica"/>
        <s v="Phone charging"/>
        <s v="Print outs"/>
        <s v="Typing + copy"/>
        <s v="Print + scan"/>
        <s v="Print colour"/>
        <s v="Box"/>
        <s v="Jtepce statement"/>
        <s v="A4 env"/>
        <s v="Lamination + printing"/>
        <s v="CV"/>
        <s v="Printing + poster r"/>
        <s v="Printing colour"/>
        <s v="Printing + scanning"/>
        <s v="ID copier 2"/>
        <s v="Jimteen"/>
        <s v="Insurance (paid pebaling Mercy)"/>
        <s v="E-citizen"/>
        <s v="DL renewal (Smart)"/>
        <s v="Mock list + copies + env"/>
        <s v="DL replica"/>
        <s v="Jtepce Invoice"/>
        <s v="Business permit + copies"/>
        <s v="Levihafu + DL renewal"/>
        <s v="Jolim copies"/>
        <s v="Transport (vehicle)"/>
        <s v="Finix copies + list"/>
        <s v="PAc"/>
        <s v="Printing + photocopies"/>
        <s v="4 DL ens"/>
        <s v="Permit"/>
        <s v="Copy 5+env 10"/>
        <s v="Photos 300 + Permits 1480"/>
        <s v="Receipt"/>
        <s v="Finix motors"/>
        <s v="Token"/>
        <s v="Token for uber"/>
        <s v="Finix copies reading"/>
        <s v="Insurance + lamination"/>
        <s v="Vehicle inspection"/>
        <s v="AS env"/>
        <s v="10 copy"/>
        <s v="1bin batuta (mercy)"/>
        <s v="ID coloured copy"/>
        <s v="NA env"/>
        <s v="Print out + copier + env"/>
        <s v="Finix copier"/>
        <s v="Mock copies"/>
        <s v="Monvoon"/>
        <s v="Tranqu"/>
        <s v="Kalima"/>
        <s v="E-citizen 200 + Insurance 50"/>
        <s v="Kevo copies"/>
        <s v="Insurance (x2)"/>
        <s v="Lynn auto spares"/>
        <s v="Print + typing"/>
        <s v="Kevo copier"/>
        <s v="Typing + copies"/>
        <s v="Lamination + print out"/>
        <s v="Lipi na Mpesa poster"/>
        <s v="Insurance (x2) + lamination"/>
        <s v="Saleh Invoices"/>
        <s v="Police abstract"/>
        <s v="Copier + env"/>
        <s v="Jtepce quotation"/>
        <s v="Lamination + copy"/>
        <s v="Jaony bags 1per (Jtepce)"/>
        <s v="Insurance + env"/>
        <s v="Kart parts"/>
        <s v="Poster for mele"/>
        <s v="Jolim copies + lid + env"/>
        <s v="Copier"/>
        <s v="Print outs + env"/>
        <s v="Env AA use"/>
        <s v="DL + Insurance + copies"/>
        <s v="Agfo Number plus 2000+310"/>
        <s v="ID copy"/>
        <s v="Coloured prints"/>
        <s v="Print scan"/>
        <s v="Photo copy"/>
        <s v="Mpesa withdrawal"/>
        <s v="Lamination A4"/>
        <s v="Scan (5)"/>
        <s v="Photocopy + printing"/>
        <s v="Printing and scanning"/>
        <s v="A4 envelope"/>
        <s v="Paid by Imbs city"/>
        <s v="Passport copies (10)"/>
        <s v="Print out (colour)"/>
        <s v="Copy + printing"/>
        <s v="Good conduct"/>
        <s v="Printing + copy"/>
        <s v="Envelope"/>
        <s v="Printing 3 copy"/>
        <s v="E-citizen DL renewal"/>
        <s v="Editing + copy"/>
        <s v="Printing + copies"/>
        <s v="KQA Date Payment"/>
        <s v="KQA Date Payment (1060)"/>
        <s v="Mpesa bal"/>
        <s v="Printing editing"/>
        <s v="Box + printing"/>
        <s v="10 papers"/>
        <s v="Permit + lamination"/>
        <s v="RENT PAID"/>
        <s v="Plain paper + envelope"/>
        <s v="City County Licence"/>
        <s v="Printing days"/>
        <s v="UDAA KOASNS transfer"/>
        <s v="UDAA KOBHVQ transfer"/>
        <s v="Mpers 3775 moved to pocket"/>
        <s v="Licence"/>
        <s v="Editing copy envelope"/>
        <s v="Envelope (A15)"/>
        <s v="Editing"/>
        <s v="Printing + envelope"/>
        <s v="Printing 3 copy + box"/>
        <s v="Printing + lamination"/>
        <s v="JOLIM (JAMES)"/>
        <s v="A5 envelope"/>
        <s v="Printing (Jawabw)"/>
        <s v="License"/>
        <s v="Cert + printing"/>
        <s v="Printing coloured"/>
        <s v="Coloured envelope"/>
        <s v="Licence renewal"/>
        <s v="Certificate"/>
        <s v="Car Acceptance (e-citizen)"/>
        <s v="Motor vehicle search"/>
        <s v="BLS Permit printing"/>
        <s v="ID lamination printing"/>
        <s v="Engine printing copies"/>
        <s v="Printing ID"/>
        <s v="Ayutech printing"/>
        <s v="ID tamination"/>
        <s v="At Licence lamination"/>
        <s v="Printing (Roha)"/>
      </sharedItems>
    </cacheField>
    <cacheField name="Category" numFmtId="49">
      <sharedItems count="17">
        <s v="Photocopying"/>
        <s v="Printing"/>
        <s v="Lamination"/>
        <s v="Typing"/>
        <s v="Other Services"/>
        <s v="Insurance"/>
        <s v="DL &amp; Licensing"/>
        <s v="Envelopes"/>
        <s v="ID &amp; Passport"/>
        <s v="Scanning"/>
        <s v="Photos"/>
        <s v="Binding"/>
        <s v="Stickers &amp; Posters"/>
        <s v="Government Services"/>
        <s v="CV &amp; Documents"/>
        <s v="Mpesa Services"/>
        <s v="Editing &amp; Design"/>
      </sharedItems>
    </cacheField>
    <cacheField name="Amount (KES)" numFmtId="178">
      <sharedItems containsSemiMixedTypes="0" containsString="0" containsNumber="1" containsInteger="1" minValue="0" maxValue="14500" count="78">
        <n v="5"/>
        <n v="20"/>
        <n v="60"/>
        <n v="80"/>
        <n v="125"/>
        <n v="130"/>
        <n v="40"/>
        <n v="70"/>
        <n v="200"/>
        <n v="50"/>
        <n v="250"/>
        <n v="1710"/>
        <n v="85"/>
        <n v="380"/>
        <n v="185"/>
        <n v="100"/>
        <n v="145"/>
        <n v="120"/>
        <n v="30"/>
        <n v="10"/>
        <n v="290"/>
        <n v="335"/>
        <n v="220"/>
        <n v="210"/>
        <n v="150"/>
        <n v="990"/>
        <n v="140"/>
        <n v="105"/>
        <n v="300"/>
        <n v="260"/>
        <n v="630"/>
        <n v="1414"/>
        <n v="1500"/>
        <n v="180"/>
        <n v="170"/>
        <n v="75"/>
        <n v="15"/>
        <n v="110"/>
        <n v="1155"/>
        <n v="1380"/>
        <n v="90"/>
        <n v="25"/>
        <n v="400"/>
        <n v="280"/>
        <n v="520"/>
        <n v="1375"/>
        <n v="135"/>
        <n v="500"/>
        <n v="225"/>
        <n v="1780"/>
        <n v="2300"/>
        <n v="700"/>
        <n v="7"/>
        <n v="360"/>
        <n v="1400"/>
        <n v="455"/>
        <n v="1000"/>
        <n v="55"/>
        <n v="2190"/>
        <n v="160"/>
        <n v="550"/>
        <n v="2310"/>
        <n v="265"/>
        <n v="600"/>
        <n v="650"/>
        <n v="230"/>
        <n v="65"/>
        <n v="1060"/>
        <n v="3879"/>
        <n v="45"/>
        <n v="350"/>
        <n v="540"/>
        <n v="14500"/>
        <n v="7500"/>
        <n v="3775"/>
        <n v="530"/>
        <n v="430"/>
        <n v="451"/>
      </sharedItems>
    </cacheField>
    <cacheField name="Month" numFmtId="49">
      <sharedItems count="2">
        <s v="Jan 2026"/>
        <s v="Feb 2026"/>
      </sharedItems>
    </cacheField>
    <cacheField name="Week" numFmtId="0">
      <sharedItems containsSemiMixedTypes="0" containsString="0" containsNumber="1" containsInteger="1" minValue="0" maxValue="6" count="4">
        <n v="3"/>
        <n v="4"/>
        <n v="5"/>
        <n v="6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198.8043981481" refreshedBy="USER" recordCount="1639">
  <cacheSource type="worksheet">
    <worksheetSource name="tblRawData"/>
  </cacheSource>
  <cacheFields count="7">
    <cacheField name="Date" numFmtId="182">
      <sharedItems containsDate="1" containsMixedTypes="1" count="20">
        <d v="2026-01-12T00:00:00"/>
        <d v="2026-01-13T00:00:00"/>
        <d v="2026-01-14T00:00:00"/>
        <d v="2026-01-15T00:00:00"/>
        <d v="2026-01-16T00:00:00"/>
        <d v="2026-01-17T00:00:00"/>
        <d v="2026-01-19T00:00:00"/>
        <d v="2026-01-20T00:00:00"/>
        <d v="2026-01-21T00:00:00"/>
        <d v="2026-01-22T00:00:00"/>
        <d v="2026-01-23T00:00:00"/>
        <d v="2026-01-24T00:00:00"/>
        <d v="2026-01-26T00:00:00"/>
        <d v="2026-01-27T00:00:00"/>
        <d v="2026-01-28T00:00:00"/>
        <d v="2026-01-29T00:00:00"/>
        <d v="2026-01-30T00:00:00"/>
        <d v="2026-01-31T00:00:00"/>
        <d v="2026-02-02T00:00:00"/>
        <s v=""/>
      </sharedItems>
    </cacheField>
    <cacheField name="Day" numFmtId="0">
      <sharedItems count="7">
        <s v="Monday"/>
        <s v="Tuesday"/>
        <s v="Wednesday"/>
        <s v="Thursday"/>
        <s v="Friday"/>
        <s v="Saturday"/>
        <s v=""/>
      </sharedItems>
    </cacheField>
    <cacheField name="Service Description" numFmtId="0">
      <sharedItems count="191">
        <s v="Photocopy"/>
        <s v="Copies"/>
        <s v="Printing"/>
        <s v="Mock copier list + env"/>
        <s v="ID + lamination"/>
        <s v="Typing"/>
        <s v="Lamination"/>
        <s v="Engine to fix"/>
        <s v="Insurance"/>
        <s v="DL renewal"/>
        <s v="Insurance + printing"/>
        <s v="Fairland copies (19 ref) - 1710"/>
        <s v="Env"/>
        <s v="Lynn copies"/>
        <s v="Lamination + DL renewal"/>
        <s v="Roha 1st + env"/>
        <s v="Copier (35x5+10)"/>
        <s v="N Sauce"/>
        <s v="Passport"/>
        <s v="Find minutes"/>
        <s v="Binding + copies"/>
        <s v="Invoice"/>
        <s v="ID + scan"/>
        <s v="Plain paper"/>
        <s v="Picture"/>
        <s v="Printing + env"/>
        <s v="Binding"/>
        <s v="Finix copies + 1 list"/>
        <s v="Sticker"/>
        <s v="Typing (1 page)"/>
        <s v="Copies + print outs"/>
        <s v="Copy"/>
        <s v="Poster"/>
        <s v="Motor vehicle agreement"/>
        <s v="Mock copies + env"/>
        <s v="Print + copy"/>
        <s v="ID copy"/>
        <s v="DL renewal + env"/>
        <s v="AS photo"/>
        <s v="Print + lamination"/>
        <s v="Inspection"/>
        <s v="Photocopies"/>
        <s v="Letter + copy"/>
        <s v="Motor sales"/>
        <s v="DL"/>
        <s v="Roha 1st"/>
        <s v="Licence checking"/>
        <s v="Jenin"/>
        <s v="Scan"/>
        <s v="Print (colour) + scan"/>
        <s v="Print out + env"/>
        <s v="Kevo"/>
        <s v="Print out + binding"/>
        <s v="ID copy (colour)"/>
        <s v="Print (colour)"/>
        <s v="Print out (black)"/>
        <s v="Print + photocopy + eFlu"/>
        <s v="Print + copies"/>
        <s v="Insurance quotation"/>
        <s v="Acceptance + e-citizen"/>
        <s v="Fairland"/>
        <s v="Print outs (colour)"/>
        <s v="Print out"/>
        <s v="E-citizen + lamination"/>
        <s v="Print out copy"/>
        <s v="CV + env"/>
        <s v="Print"/>
        <s v="Scanning"/>
        <s v="ID copier"/>
        <s v="Birth cert"/>
        <s v="ID"/>
        <s v="Printing copier"/>
        <s v="Print copy"/>
        <s v="Lynn"/>
        <s v="Printing + scan"/>
        <s v="Glue"/>
        <s v="Envelope A4"/>
        <s v="Printing + 10 copy"/>
        <s v="ID replica"/>
        <s v="Phone charging"/>
        <s v="Print outs"/>
        <s v="Typing + copy"/>
        <s v="Print + scan"/>
        <s v="Print colour"/>
        <s v="Box"/>
        <s v="Stepse statement"/>
        <s v="A4 env"/>
        <s v="Lamination + printing"/>
        <s v="CV"/>
        <s v="Printing + poster r"/>
        <s v="Printing colour"/>
        <s v="Printing + scanning"/>
        <s v="ID copier 2"/>
        <s v="Insurance (paid pebaling Mercy)"/>
        <s v="E-citizen"/>
        <s v="DL renewal (Smart)"/>
        <s v="Mock list + copies + env"/>
        <s v="DL replica"/>
        <s v="stepce Invoice"/>
        <s v="Business permit + copies"/>
        <s v="Jolim copies"/>
        <s v="Finix copies + list"/>
        <s v="Printing + photocopies"/>
        <s v="DL + Insurance + copies"/>
        <s v="Permit"/>
        <s v="Copy 5+env 10"/>
        <s v="Photos 300 + Permits 1480"/>
        <s v="Receipt"/>
        <s v="Finix motors"/>
        <s v="Finix copies reading"/>
        <s v="Insurance + lamination"/>
        <s v="Vehicle inspection"/>
        <s v="A5 envelope"/>
        <s v="10 copy"/>
        <s v="ID coloured copy"/>
        <s v="Print out + copier + env"/>
        <s v="Finix copier"/>
        <s v="Mock copies"/>
        <s v="Monsoon"/>
        <s v="E-citizen 200 + Insurance 50"/>
        <s v="Kevo copies"/>
        <s v="Insurance (x2)"/>
        <s v="Lynn auto spares"/>
        <s v="Print + typing"/>
        <s v="Kevo copier"/>
        <s v="Monvoon"/>
        <s v="Typing + copies"/>
        <s v="Lamination + print out"/>
        <s v="Insurance (x2) + lamination"/>
        <s v="Saleh Invoices"/>
        <s v="Police abstract"/>
        <s v="Copier + env"/>
        <s v="Stepse quotation"/>
        <s v="Lamination + copy"/>
        <s v="Insurance + env"/>
        <s v="Karl parts"/>
        <s v="Jolim copies + lid + env"/>
        <s v="Copier"/>
        <s v="Print outs + env"/>
        <s v="Env AA use"/>
        <s v="Coloured prints"/>
        <s v="Print scan"/>
        <s v="Photo copy"/>
        <s v="Lamination A4"/>
        <s v="Scan (5)"/>
        <s v="Photocopy + printing"/>
        <s v="Printing and scanning"/>
        <s v="A4 envelope"/>
        <s v="Paid by Imbs city"/>
        <s v="Passport copies (10)"/>
        <s v="Print out (colour)"/>
        <s v="Copy + printing"/>
        <s v="Good conduct"/>
        <s v="Printing + copy"/>
        <s v="Envelope"/>
        <s v="Printing 3 copy"/>
        <s v="E-citizen DL renewal"/>
        <s v="Editing + copy"/>
        <s v="Printing + copies"/>
        <s v="Printing editing"/>
        <s v="Box + printing"/>
        <s v="10 papers"/>
        <s v="Permit + lamination"/>
        <s v="Plain paper + envelope"/>
        <s v="City County Licence"/>
        <s v="Car transfer"/>
        <s v="Licence"/>
        <s v="Editing copy envelope"/>
        <s v="Envelope (A15)"/>
        <s v="Editing"/>
        <s v="Printing + envelope"/>
        <s v="Printing 3 copy + box"/>
        <s v="Printing + lamination"/>
        <s v="JOLIM (JAMES)"/>
        <s v="Printing (Jawabw)"/>
        <s v="License"/>
        <s v="Cert + printing"/>
        <s v="Printing coloured"/>
        <s v="Coloured envelope"/>
        <s v="Licence renewal"/>
        <s v="Certificate"/>
        <s v="Car Acceptance (e-citizen)"/>
        <s v="Motor vehicle search"/>
        <s v="B/S Permit printing"/>
        <s v="ID lamination printing"/>
        <s v="Engine printing copies"/>
        <s v="Printing ID"/>
        <s v="Ayub tech printing"/>
        <s v="Licence lamination"/>
        <s v="Printing (Roha)"/>
        <s v=""/>
      </sharedItems>
    </cacheField>
    <cacheField name="Category" numFmtId="0">
      <sharedItems count="18">
        <s v="Photocopying"/>
        <s v="Printing"/>
        <s v="Lamination"/>
        <s v="Typing"/>
        <s v="Insurance"/>
        <s v="DL &amp; Licensing"/>
        <s v="Envelopes"/>
        <s v="Other Services"/>
        <s v="ID &amp; Passport"/>
        <s v="Scanning"/>
        <s v="Photos"/>
        <s v="Binding"/>
        <s v="Stickers &amp; Posters"/>
        <s v="Personal / Non-Business"/>
        <s v="Government Services"/>
        <s v="CV &amp; Documents"/>
        <s v="Editing &amp; Design"/>
        <s v=""/>
      </sharedItems>
    </cacheField>
    <cacheField name="Amount (KES)" numFmtId="178">
      <sharedItems containsNumber="1" containsInteger="1" containsMixedTypes="1" count="70">
        <n v="5"/>
        <n v="20"/>
        <n v="60"/>
        <n v="80"/>
        <n v="125"/>
        <n v="130"/>
        <n v="40"/>
        <n v="70"/>
        <n v="200"/>
        <n v="50"/>
        <n v="250"/>
        <n v="1710"/>
        <n v="85"/>
        <n v="380"/>
        <n v="185"/>
        <n v="100"/>
        <n v="145"/>
        <n v="120"/>
        <n v="30"/>
        <n v="10"/>
        <n v="290"/>
        <n v="335"/>
        <n v="220"/>
        <n v="210"/>
        <n v="150"/>
        <n v="140"/>
        <n v="105"/>
        <n v="260"/>
        <n v="630"/>
        <n v="1500"/>
        <n v="170"/>
        <n v="75"/>
        <n v="15"/>
        <n v="110"/>
        <n v="1155"/>
        <n v="300"/>
        <n v="1380"/>
        <n v="90"/>
        <n v="25"/>
        <n v="400"/>
        <n v="280"/>
        <n v="520"/>
        <n v="135"/>
        <n v="225"/>
        <n v="500"/>
        <n v="1780"/>
        <n v="700"/>
        <n v="7"/>
        <n v="360"/>
        <n v="1400"/>
        <n v="455"/>
        <n v="55"/>
        <n v="2190"/>
        <n v="160"/>
        <n v="550"/>
        <n v="265"/>
        <n v="650"/>
        <n v="230"/>
        <n v="65"/>
        <n v="45"/>
        <n v="350"/>
        <n v="540"/>
        <n v="7500"/>
        <n v="1450"/>
        <n v="750"/>
        <n v="180"/>
        <n v="530"/>
        <n v="430"/>
        <n v="451"/>
        <s v=""/>
      </sharedItems>
    </cacheField>
    <cacheField name="Month" numFmtId="0">
      <sharedItems count="3">
        <s v="Jan 2026"/>
        <s v="Feb 2026"/>
        <s v=""/>
      </sharedItems>
    </cacheField>
    <cacheField name="Week" numFmtId="0">
      <sharedItems containsNumber="1" containsInteger="1" containsMixedTypes="1" count="5">
        <n v="3"/>
        <n v="4"/>
        <n v="5"/>
        <n v="6"/>
        <s v="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5">
  <r>
    <x v="0"/>
    <x v="0"/>
    <x v="0"/>
    <x v="0"/>
    <x v="0"/>
    <x v="0"/>
    <x v="0"/>
  </r>
  <r>
    <x v="0"/>
    <x v="0"/>
    <x v="1"/>
    <x v="0"/>
    <x v="1"/>
    <x v="0"/>
    <x v="0"/>
  </r>
  <r>
    <x v="0"/>
    <x v="0"/>
    <x v="0"/>
    <x v="0"/>
    <x v="1"/>
    <x v="0"/>
    <x v="0"/>
  </r>
  <r>
    <x v="0"/>
    <x v="0"/>
    <x v="2"/>
    <x v="1"/>
    <x v="2"/>
    <x v="0"/>
    <x v="0"/>
  </r>
  <r>
    <x v="0"/>
    <x v="0"/>
    <x v="2"/>
    <x v="1"/>
    <x v="3"/>
    <x v="0"/>
    <x v="0"/>
  </r>
  <r>
    <x v="0"/>
    <x v="0"/>
    <x v="3"/>
    <x v="0"/>
    <x v="4"/>
    <x v="0"/>
    <x v="0"/>
  </r>
  <r>
    <x v="0"/>
    <x v="0"/>
    <x v="4"/>
    <x v="2"/>
    <x v="5"/>
    <x v="0"/>
    <x v="0"/>
  </r>
  <r>
    <x v="0"/>
    <x v="0"/>
    <x v="2"/>
    <x v="1"/>
    <x v="6"/>
    <x v="0"/>
    <x v="0"/>
  </r>
  <r>
    <x v="0"/>
    <x v="0"/>
    <x v="5"/>
    <x v="3"/>
    <x v="7"/>
    <x v="0"/>
    <x v="0"/>
  </r>
  <r>
    <x v="0"/>
    <x v="0"/>
    <x v="6"/>
    <x v="2"/>
    <x v="7"/>
    <x v="0"/>
    <x v="0"/>
  </r>
  <r>
    <x v="0"/>
    <x v="0"/>
    <x v="7"/>
    <x v="4"/>
    <x v="8"/>
    <x v="0"/>
    <x v="0"/>
  </r>
  <r>
    <x v="0"/>
    <x v="0"/>
    <x v="8"/>
    <x v="5"/>
    <x v="9"/>
    <x v="0"/>
    <x v="0"/>
  </r>
  <r>
    <x v="0"/>
    <x v="0"/>
    <x v="9"/>
    <x v="6"/>
    <x v="10"/>
    <x v="0"/>
    <x v="0"/>
  </r>
  <r>
    <x v="0"/>
    <x v="0"/>
    <x v="10"/>
    <x v="1"/>
    <x v="7"/>
    <x v="0"/>
    <x v="0"/>
  </r>
  <r>
    <x v="0"/>
    <x v="0"/>
    <x v="11"/>
    <x v="0"/>
    <x v="11"/>
    <x v="0"/>
    <x v="0"/>
  </r>
  <r>
    <x v="0"/>
    <x v="0"/>
    <x v="9"/>
    <x v="6"/>
    <x v="10"/>
    <x v="0"/>
    <x v="0"/>
  </r>
  <r>
    <x v="0"/>
    <x v="0"/>
    <x v="12"/>
    <x v="7"/>
    <x v="1"/>
    <x v="0"/>
    <x v="0"/>
  </r>
  <r>
    <x v="0"/>
    <x v="0"/>
    <x v="2"/>
    <x v="1"/>
    <x v="9"/>
    <x v="0"/>
    <x v="0"/>
  </r>
  <r>
    <x v="0"/>
    <x v="0"/>
    <x v="13"/>
    <x v="0"/>
    <x v="12"/>
    <x v="0"/>
    <x v="0"/>
  </r>
  <r>
    <x v="0"/>
    <x v="0"/>
    <x v="14"/>
    <x v="2"/>
    <x v="13"/>
    <x v="0"/>
    <x v="0"/>
  </r>
  <r>
    <x v="0"/>
    <x v="0"/>
    <x v="2"/>
    <x v="1"/>
    <x v="1"/>
    <x v="0"/>
    <x v="0"/>
  </r>
  <r>
    <x v="0"/>
    <x v="0"/>
    <x v="2"/>
    <x v="1"/>
    <x v="1"/>
    <x v="0"/>
    <x v="0"/>
  </r>
  <r>
    <x v="0"/>
    <x v="0"/>
    <x v="15"/>
    <x v="7"/>
    <x v="2"/>
    <x v="0"/>
    <x v="0"/>
  </r>
  <r>
    <x v="0"/>
    <x v="0"/>
    <x v="16"/>
    <x v="0"/>
    <x v="14"/>
    <x v="0"/>
    <x v="0"/>
  </r>
  <r>
    <x v="0"/>
    <x v="0"/>
    <x v="17"/>
    <x v="4"/>
    <x v="9"/>
    <x v="0"/>
    <x v="0"/>
  </r>
  <r>
    <x v="0"/>
    <x v="0"/>
    <x v="2"/>
    <x v="1"/>
    <x v="6"/>
    <x v="0"/>
    <x v="0"/>
  </r>
  <r>
    <x v="0"/>
    <x v="0"/>
    <x v="0"/>
    <x v="0"/>
    <x v="1"/>
    <x v="0"/>
    <x v="0"/>
  </r>
  <r>
    <x v="0"/>
    <x v="0"/>
    <x v="18"/>
    <x v="8"/>
    <x v="15"/>
    <x v="0"/>
    <x v="0"/>
  </r>
  <r>
    <x v="0"/>
    <x v="0"/>
    <x v="19"/>
    <x v="4"/>
    <x v="8"/>
    <x v="0"/>
    <x v="0"/>
  </r>
  <r>
    <x v="0"/>
    <x v="0"/>
    <x v="2"/>
    <x v="1"/>
    <x v="2"/>
    <x v="0"/>
    <x v="0"/>
  </r>
  <r>
    <x v="0"/>
    <x v="0"/>
    <x v="8"/>
    <x v="5"/>
    <x v="9"/>
    <x v="0"/>
    <x v="0"/>
  </r>
  <r>
    <x v="0"/>
    <x v="0"/>
    <x v="20"/>
    <x v="0"/>
    <x v="16"/>
    <x v="0"/>
    <x v="0"/>
  </r>
  <r>
    <x v="0"/>
    <x v="0"/>
    <x v="2"/>
    <x v="1"/>
    <x v="17"/>
    <x v="0"/>
    <x v="0"/>
  </r>
  <r>
    <x v="0"/>
    <x v="0"/>
    <x v="2"/>
    <x v="1"/>
    <x v="1"/>
    <x v="0"/>
    <x v="0"/>
  </r>
  <r>
    <x v="0"/>
    <x v="0"/>
    <x v="21"/>
    <x v="4"/>
    <x v="7"/>
    <x v="0"/>
    <x v="0"/>
  </r>
  <r>
    <x v="0"/>
    <x v="0"/>
    <x v="2"/>
    <x v="1"/>
    <x v="18"/>
    <x v="0"/>
    <x v="0"/>
  </r>
  <r>
    <x v="0"/>
    <x v="0"/>
    <x v="22"/>
    <x v="9"/>
    <x v="6"/>
    <x v="0"/>
    <x v="0"/>
  </r>
  <r>
    <x v="0"/>
    <x v="0"/>
    <x v="2"/>
    <x v="1"/>
    <x v="1"/>
    <x v="0"/>
    <x v="0"/>
  </r>
  <r>
    <x v="0"/>
    <x v="0"/>
    <x v="2"/>
    <x v="1"/>
    <x v="6"/>
    <x v="0"/>
    <x v="0"/>
  </r>
  <r>
    <x v="1"/>
    <x v="1"/>
    <x v="2"/>
    <x v="1"/>
    <x v="19"/>
    <x v="0"/>
    <x v="0"/>
  </r>
  <r>
    <x v="1"/>
    <x v="1"/>
    <x v="23"/>
    <x v="4"/>
    <x v="0"/>
    <x v="0"/>
    <x v="0"/>
  </r>
  <r>
    <x v="1"/>
    <x v="1"/>
    <x v="24"/>
    <x v="10"/>
    <x v="9"/>
    <x v="0"/>
    <x v="0"/>
  </r>
  <r>
    <x v="1"/>
    <x v="1"/>
    <x v="24"/>
    <x v="10"/>
    <x v="9"/>
    <x v="0"/>
    <x v="0"/>
  </r>
  <r>
    <x v="1"/>
    <x v="1"/>
    <x v="8"/>
    <x v="5"/>
    <x v="9"/>
    <x v="0"/>
    <x v="0"/>
  </r>
  <r>
    <x v="1"/>
    <x v="1"/>
    <x v="25"/>
    <x v="1"/>
    <x v="18"/>
    <x v="0"/>
    <x v="0"/>
  </r>
  <r>
    <x v="1"/>
    <x v="1"/>
    <x v="26"/>
    <x v="11"/>
    <x v="15"/>
    <x v="0"/>
    <x v="0"/>
  </r>
  <r>
    <x v="1"/>
    <x v="1"/>
    <x v="27"/>
    <x v="0"/>
    <x v="20"/>
    <x v="0"/>
    <x v="0"/>
  </r>
  <r>
    <x v="1"/>
    <x v="1"/>
    <x v="8"/>
    <x v="5"/>
    <x v="9"/>
    <x v="0"/>
    <x v="0"/>
  </r>
  <r>
    <x v="1"/>
    <x v="1"/>
    <x v="2"/>
    <x v="1"/>
    <x v="1"/>
    <x v="0"/>
    <x v="0"/>
  </r>
  <r>
    <x v="1"/>
    <x v="1"/>
    <x v="28"/>
    <x v="12"/>
    <x v="10"/>
    <x v="0"/>
    <x v="0"/>
  </r>
  <r>
    <x v="1"/>
    <x v="1"/>
    <x v="2"/>
    <x v="1"/>
    <x v="1"/>
    <x v="0"/>
    <x v="0"/>
  </r>
  <r>
    <x v="1"/>
    <x v="1"/>
    <x v="0"/>
    <x v="0"/>
    <x v="1"/>
    <x v="0"/>
    <x v="0"/>
  </r>
  <r>
    <x v="1"/>
    <x v="1"/>
    <x v="8"/>
    <x v="5"/>
    <x v="9"/>
    <x v="0"/>
    <x v="0"/>
  </r>
  <r>
    <x v="1"/>
    <x v="1"/>
    <x v="9"/>
    <x v="6"/>
    <x v="10"/>
    <x v="0"/>
    <x v="0"/>
  </r>
  <r>
    <x v="1"/>
    <x v="1"/>
    <x v="2"/>
    <x v="1"/>
    <x v="19"/>
    <x v="0"/>
    <x v="0"/>
  </r>
  <r>
    <x v="1"/>
    <x v="1"/>
    <x v="7"/>
    <x v="4"/>
    <x v="4"/>
    <x v="0"/>
    <x v="0"/>
  </r>
  <r>
    <x v="1"/>
    <x v="1"/>
    <x v="2"/>
    <x v="1"/>
    <x v="9"/>
    <x v="0"/>
    <x v="0"/>
  </r>
  <r>
    <x v="1"/>
    <x v="1"/>
    <x v="9"/>
    <x v="6"/>
    <x v="8"/>
    <x v="0"/>
    <x v="0"/>
  </r>
  <r>
    <x v="1"/>
    <x v="1"/>
    <x v="25"/>
    <x v="1"/>
    <x v="9"/>
    <x v="0"/>
    <x v="0"/>
  </r>
  <r>
    <x v="1"/>
    <x v="1"/>
    <x v="8"/>
    <x v="5"/>
    <x v="9"/>
    <x v="0"/>
    <x v="0"/>
  </r>
  <r>
    <x v="2"/>
    <x v="2"/>
    <x v="29"/>
    <x v="3"/>
    <x v="2"/>
    <x v="0"/>
    <x v="0"/>
  </r>
  <r>
    <x v="2"/>
    <x v="2"/>
    <x v="8"/>
    <x v="5"/>
    <x v="9"/>
    <x v="0"/>
    <x v="0"/>
  </r>
  <r>
    <x v="2"/>
    <x v="2"/>
    <x v="2"/>
    <x v="1"/>
    <x v="1"/>
    <x v="0"/>
    <x v="0"/>
  </r>
  <r>
    <x v="2"/>
    <x v="2"/>
    <x v="8"/>
    <x v="5"/>
    <x v="9"/>
    <x v="0"/>
    <x v="0"/>
  </r>
  <r>
    <x v="2"/>
    <x v="2"/>
    <x v="30"/>
    <x v="1"/>
    <x v="21"/>
    <x v="0"/>
    <x v="0"/>
  </r>
  <r>
    <x v="2"/>
    <x v="2"/>
    <x v="2"/>
    <x v="1"/>
    <x v="1"/>
    <x v="0"/>
    <x v="0"/>
  </r>
  <r>
    <x v="2"/>
    <x v="2"/>
    <x v="31"/>
    <x v="0"/>
    <x v="0"/>
    <x v="0"/>
    <x v="0"/>
  </r>
  <r>
    <x v="2"/>
    <x v="2"/>
    <x v="2"/>
    <x v="1"/>
    <x v="22"/>
    <x v="0"/>
    <x v="0"/>
  </r>
  <r>
    <x v="2"/>
    <x v="2"/>
    <x v="8"/>
    <x v="5"/>
    <x v="18"/>
    <x v="0"/>
    <x v="0"/>
  </r>
  <r>
    <x v="2"/>
    <x v="2"/>
    <x v="2"/>
    <x v="1"/>
    <x v="1"/>
    <x v="0"/>
    <x v="0"/>
  </r>
  <r>
    <x v="2"/>
    <x v="2"/>
    <x v="32"/>
    <x v="12"/>
    <x v="10"/>
    <x v="0"/>
    <x v="0"/>
  </r>
  <r>
    <x v="2"/>
    <x v="2"/>
    <x v="33"/>
    <x v="4"/>
    <x v="15"/>
    <x v="0"/>
    <x v="0"/>
  </r>
  <r>
    <x v="2"/>
    <x v="2"/>
    <x v="2"/>
    <x v="1"/>
    <x v="6"/>
    <x v="0"/>
    <x v="0"/>
  </r>
  <r>
    <x v="2"/>
    <x v="2"/>
    <x v="2"/>
    <x v="1"/>
    <x v="1"/>
    <x v="0"/>
    <x v="0"/>
  </r>
  <r>
    <x v="2"/>
    <x v="2"/>
    <x v="8"/>
    <x v="5"/>
    <x v="9"/>
    <x v="0"/>
    <x v="0"/>
  </r>
  <r>
    <x v="2"/>
    <x v="2"/>
    <x v="0"/>
    <x v="0"/>
    <x v="19"/>
    <x v="0"/>
    <x v="0"/>
  </r>
  <r>
    <x v="2"/>
    <x v="2"/>
    <x v="2"/>
    <x v="1"/>
    <x v="1"/>
    <x v="0"/>
    <x v="0"/>
  </r>
  <r>
    <x v="3"/>
    <x v="3"/>
    <x v="34"/>
    <x v="0"/>
    <x v="4"/>
    <x v="0"/>
    <x v="0"/>
  </r>
  <r>
    <x v="3"/>
    <x v="3"/>
    <x v="35"/>
    <x v="1"/>
    <x v="23"/>
    <x v="0"/>
    <x v="0"/>
  </r>
  <r>
    <x v="3"/>
    <x v="3"/>
    <x v="0"/>
    <x v="0"/>
    <x v="19"/>
    <x v="0"/>
    <x v="0"/>
  </r>
  <r>
    <x v="3"/>
    <x v="3"/>
    <x v="2"/>
    <x v="1"/>
    <x v="18"/>
    <x v="0"/>
    <x v="0"/>
  </r>
  <r>
    <x v="3"/>
    <x v="3"/>
    <x v="36"/>
    <x v="8"/>
    <x v="1"/>
    <x v="0"/>
    <x v="0"/>
  </r>
  <r>
    <x v="3"/>
    <x v="3"/>
    <x v="37"/>
    <x v="6"/>
    <x v="23"/>
    <x v="0"/>
    <x v="0"/>
  </r>
  <r>
    <x v="3"/>
    <x v="3"/>
    <x v="2"/>
    <x v="1"/>
    <x v="1"/>
    <x v="0"/>
    <x v="0"/>
  </r>
  <r>
    <x v="3"/>
    <x v="3"/>
    <x v="0"/>
    <x v="0"/>
    <x v="1"/>
    <x v="0"/>
    <x v="0"/>
  </r>
  <r>
    <x v="3"/>
    <x v="3"/>
    <x v="38"/>
    <x v="10"/>
    <x v="24"/>
    <x v="0"/>
    <x v="0"/>
  </r>
  <r>
    <x v="3"/>
    <x v="3"/>
    <x v="39"/>
    <x v="4"/>
    <x v="25"/>
    <x v="0"/>
    <x v="0"/>
  </r>
  <r>
    <x v="3"/>
    <x v="3"/>
    <x v="40"/>
    <x v="1"/>
    <x v="26"/>
    <x v="0"/>
    <x v="0"/>
  </r>
  <r>
    <x v="3"/>
    <x v="3"/>
    <x v="41"/>
    <x v="13"/>
    <x v="8"/>
    <x v="0"/>
    <x v="0"/>
  </r>
  <r>
    <x v="3"/>
    <x v="3"/>
    <x v="42"/>
    <x v="0"/>
    <x v="15"/>
    <x v="0"/>
    <x v="0"/>
  </r>
  <r>
    <x v="3"/>
    <x v="3"/>
    <x v="2"/>
    <x v="1"/>
    <x v="8"/>
    <x v="0"/>
    <x v="0"/>
  </r>
  <r>
    <x v="3"/>
    <x v="3"/>
    <x v="2"/>
    <x v="1"/>
    <x v="1"/>
    <x v="0"/>
    <x v="0"/>
  </r>
  <r>
    <x v="3"/>
    <x v="3"/>
    <x v="2"/>
    <x v="1"/>
    <x v="9"/>
    <x v="0"/>
    <x v="0"/>
  </r>
  <r>
    <x v="3"/>
    <x v="3"/>
    <x v="8"/>
    <x v="5"/>
    <x v="9"/>
    <x v="0"/>
    <x v="0"/>
  </r>
  <r>
    <x v="3"/>
    <x v="3"/>
    <x v="43"/>
    <x v="0"/>
    <x v="27"/>
    <x v="0"/>
    <x v="0"/>
  </r>
  <r>
    <x v="3"/>
    <x v="3"/>
    <x v="44"/>
    <x v="4"/>
    <x v="28"/>
    <x v="0"/>
    <x v="0"/>
  </r>
  <r>
    <x v="3"/>
    <x v="3"/>
    <x v="2"/>
    <x v="1"/>
    <x v="1"/>
    <x v="0"/>
    <x v="0"/>
  </r>
  <r>
    <x v="3"/>
    <x v="3"/>
    <x v="31"/>
    <x v="0"/>
    <x v="19"/>
    <x v="0"/>
    <x v="0"/>
  </r>
  <r>
    <x v="3"/>
    <x v="3"/>
    <x v="2"/>
    <x v="1"/>
    <x v="15"/>
    <x v="0"/>
    <x v="0"/>
  </r>
  <r>
    <x v="3"/>
    <x v="3"/>
    <x v="44"/>
    <x v="4"/>
    <x v="8"/>
    <x v="0"/>
    <x v="0"/>
  </r>
  <r>
    <x v="3"/>
    <x v="3"/>
    <x v="45"/>
    <x v="4"/>
    <x v="9"/>
    <x v="0"/>
    <x v="0"/>
  </r>
  <r>
    <x v="4"/>
    <x v="4"/>
    <x v="46"/>
    <x v="6"/>
    <x v="10"/>
    <x v="0"/>
    <x v="0"/>
  </r>
  <r>
    <x v="4"/>
    <x v="4"/>
    <x v="47"/>
    <x v="4"/>
    <x v="9"/>
    <x v="0"/>
    <x v="0"/>
  </r>
  <r>
    <x v="4"/>
    <x v="4"/>
    <x v="8"/>
    <x v="5"/>
    <x v="9"/>
    <x v="0"/>
    <x v="0"/>
  </r>
  <r>
    <x v="4"/>
    <x v="4"/>
    <x v="8"/>
    <x v="5"/>
    <x v="9"/>
    <x v="0"/>
    <x v="0"/>
  </r>
  <r>
    <x v="4"/>
    <x v="4"/>
    <x v="2"/>
    <x v="1"/>
    <x v="29"/>
    <x v="0"/>
    <x v="0"/>
  </r>
  <r>
    <x v="4"/>
    <x v="4"/>
    <x v="48"/>
    <x v="6"/>
    <x v="9"/>
    <x v="0"/>
    <x v="0"/>
  </r>
  <r>
    <x v="4"/>
    <x v="4"/>
    <x v="31"/>
    <x v="0"/>
    <x v="0"/>
    <x v="0"/>
    <x v="0"/>
  </r>
  <r>
    <x v="4"/>
    <x v="4"/>
    <x v="2"/>
    <x v="1"/>
    <x v="2"/>
    <x v="0"/>
    <x v="0"/>
  </r>
  <r>
    <x v="4"/>
    <x v="4"/>
    <x v="49"/>
    <x v="4"/>
    <x v="30"/>
    <x v="0"/>
    <x v="0"/>
  </r>
  <r>
    <x v="4"/>
    <x v="4"/>
    <x v="50"/>
    <x v="4"/>
    <x v="31"/>
    <x v="0"/>
    <x v="0"/>
  </r>
  <r>
    <x v="4"/>
    <x v="4"/>
    <x v="51"/>
    <x v="9"/>
    <x v="18"/>
    <x v="0"/>
    <x v="0"/>
  </r>
  <r>
    <x v="4"/>
    <x v="4"/>
    <x v="52"/>
    <x v="1"/>
    <x v="8"/>
    <x v="0"/>
    <x v="0"/>
  </r>
  <r>
    <x v="4"/>
    <x v="4"/>
    <x v="53"/>
    <x v="1"/>
    <x v="15"/>
    <x v="0"/>
    <x v="0"/>
  </r>
  <r>
    <x v="4"/>
    <x v="4"/>
    <x v="2"/>
    <x v="1"/>
    <x v="1"/>
    <x v="0"/>
    <x v="0"/>
  </r>
  <r>
    <x v="4"/>
    <x v="4"/>
    <x v="54"/>
    <x v="4"/>
    <x v="15"/>
    <x v="0"/>
    <x v="0"/>
  </r>
  <r>
    <x v="4"/>
    <x v="4"/>
    <x v="55"/>
    <x v="1"/>
    <x v="32"/>
    <x v="0"/>
    <x v="0"/>
  </r>
  <r>
    <x v="4"/>
    <x v="4"/>
    <x v="2"/>
    <x v="1"/>
    <x v="1"/>
    <x v="0"/>
    <x v="0"/>
  </r>
  <r>
    <x v="4"/>
    <x v="4"/>
    <x v="44"/>
    <x v="4"/>
    <x v="28"/>
    <x v="0"/>
    <x v="0"/>
  </r>
  <r>
    <x v="4"/>
    <x v="4"/>
    <x v="2"/>
    <x v="1"/>
    <x v="1"/>
    <x v="0"/>
    <x v="0"/>
  </r>
  <r>
    <x v="4"/>
    <x v="4"/>
    <x v="2"/>
    <x v="1"/>
    <x v="6"/>
    <x v="0"/>
    <x v="0"/>
  </r>
  <r>
    <x v="4"/>
    <x v="4"/>
    <x v="2"/>
    <x v="1"/>
    <x v="3"/>
    <x v="0"/>
    <x v="0"/>
  </r>
  <r>
    <x v="4"/>
    <x v="4"/>
    <x v="56"/>
    <x v="0"/>
    <x v="1"/>
    <x v="0"/>
    <x v="0"/>
  </r>
  <r>
    <x v="4"/>
    <x v="4"/>
    <x v="57"/>
    <x v="4"/>
    <x v="33"/>
    <x v="0"/>
    <x v="0"/>
  </r>
  <r>
    <x v="4"/>
    <x v="4"/>
    <x v="58"/>
    <x v="1"/>
    <x v="1"/>
    <x v="0"/>
    <x v="0"/>
  </r>
  <r>
    <x v="4"/>
    <x v="4"/>
    <x v="59"/>
    <x v="1"/>
    <x v="2"/>
    <x v="0"/>
    <x v="0"/>
  </r>
  <r>
    <x v="4"/>
    <x v="4"/>
    <x v="2"/>
    <x v="1"/>
    <x v="15"/>
    <x v="0"/>
    <x v="0"/>
  </r>
  <r>
    <x v="4"/>
    <x v="4"/>
    <x v="60"/>
    <x v="1"/>
    <x v="34"/>
    <x v="0"/>
    <x v="0"/>
  </r>
  <r>
    <x v="4"/>
    <x v="4"/>
    <x v="61"/>
    <x v="1"/>
    <x v="35"/>
    <x v="0"/>
    <x v="0"/>
  </r>
  <r>
    <x v="4"/>
    <x v="4"/>
    <x v="35"/>
    <x v="1"/>
    <x v="36"/>
    <x v="0"/>
    <x v="0"/>
  </r>
  <r>
    <x v="4"/>
    <x v="4"/>
    <x v="62"/>
    <x v="5"/>
    <x v="3"/>
    <x v="0"/>
    <x v="0"/>
  </r>
  <r>
    <x v="4"/>
    <x v="4"/>
    <x v="2"/>
    <x v="1"/>
    <x v="17"/>
    <x v="0"/>
    <x v="0"/>
  </r>
  <r>
    <x v="4"/>
    <x v="4"/>
    <x v="63"/>
    <x v="13"/>
    <x v="8"/>
    <x v="0"/>
    <x v="0"/>
  </r>
  <r>
    <x v="4"/>
    <x v="4"/>
    <x v="64"/>
    <x v="4"/>
    <x v="26"/>
    <x v="0"/>
    <x v="0"/>
  </r>
  <r>
    <x v="4"/>
    <x v="4"/>
    <x v="2"/>
    <x v="1"/>
    <x v="1"/>
    <x v="0"/>
    <x v="0"/>
  </r>
  <r>
    <x v="4"/>
    <x v="4"/>
    <x v="8"/>
    <x v="5"/>
    <x v="9"/>
    <x v="0"/>
    <x v="0"/>
  </r>
  <r>
    <x v="4"/>
    <x v="4"/>
    <x v="2"/>
    <x v="1"/>
    <x v="6"/>
    <x v="0"/>
    <x v="0"/>
  </r>
  <r>
    <x v="5"/>
    <x v="5"/>
    <x v="65"/>
    <x v="1"/>
    <x v="26"/>
    <x v="0"/>
    <x v="0"/>
  </r>
  <r>
    <x v="5"/>
    <x v="5"/>
    <x v="66"/>
    <x v="1"/>
    <x v="19"/>
    <x v="0"/>
    <x v="0"/>
  </r>
  <r>
    <x v="5"/>
    <x v="5"/>
    <x v="67"/>
    <x v="2"/>
    <x v="29"/>
    <x v="0"/>
    <x v="0"/>
  </r>
  <r>
    <x v="5"/>
    <x v="5"/>
    <x v="68"/>
    <x v="1"/>
    <x v="0"/>
    <x v="0"/>
    <x v="0"/>
  </r>
  <r>
    <x v="5"/>
    <x v="5"/>
    <x v="66"/>
    <x v="1"/>
    <x v="1"/>
    <x v="0"/>
    <x v="0"/>
  </r>
  <r>
    <x v="5"/>
    <x v="5"/>
    <x v="69"/>
    <x v="4"/>
    <x v="8"/>
    <x v="0"/>
    <x v="0"/>
  </r>
  <r>
    <x v="5"/>
    <x v="5"/>
    <x v="70"/>
    <x v="4"/>
    <x v="1"/>
    <x v="0"/>
    <x v="0"/>
  </r>
  <r>
    <x v="5"/>
    <x v="5"/>
    <x v="71"/>
    <x v="7"/>
    <x v="37"/>
    <x v="0"/>
    <x v="0"/>
  </r>
  <r>
    <x v="5"/>
    <x v="5"/>
    <x v="72"/>
    <x v="1"/>
    <x v="1"/>
    <x v="0"/>
    <x v="0"/>
  </r>
  <r>
    <x v="5"/>
    <x v="5"/>
    <x v="66"/>
    <x v="1"/>
    <x v="19"/>
    <x v="0"/>
    <x v="0"/>
  </r>
  <r>
    <x v="5"/>
    <x v="5"/>
    <x v="73"/>
    <x v="9"/>
    <x v="38"/>
    <x v="0"/>
    <x v="0"/>
  </r>
  <r>
    <x v="5"/>
    <x v="5"/>
    <x v="2"/>
    <x v="1"/>
    <x v="1"/>
    <x v="0"/>
    <x v="0"/>
  </r>
  <r>
    <x v="5"/>
    <x v="5"/>
    <x v="74"/>
    <x v="0"/>
    <x v="1"/>
    <x v="0"/>
    <x v="0"/>
  </r>
  <r>
    <x v="5"/>
    <x v="5"/>
    <x v="66"/>
    <x v="1"/>
    <x v="1"/>
    <x v="0"/>
    <x v="0"/>
  </r>
  <r>
    <x v="5"/>
    <x v="5"/>
    <x v="75"/>
    <x v="4"/>
    <x v="28"/>
    <x v="0"/>
    <x v="0"/>
  </r>
  <r>
    <x v="5"/>
    <x v="5"/>
    <x v="76"/>
    <x v="4"/>
    <x v="19"/>
    <x v="0"/>
    <x v="0"/>
  </r>
  <r>
    <x v="5"/>
    <x v="5"/>
    <x v="77"/>
    <x v="1"/>
    <x v="39"/>
    <x v="0"/>
    <x v="0"/>
  </r>
  <r>
    <x v="5"/>
    <x v="5"/>
    <x v="78"/>
    <x v="1"/>
    <x v="19"/>
    <x v="0"/>
    <x v="0"/>
  </r>
  <r>
    <x v="5"/>
    <x v="5"/>
    <x v="2"/>
    <x v="1"/>
    <x v="3"/>
    <x v="0"/>
    <x v="0"/>
  </r>
  <r>
    <x v="5"/>
    <x v="5"/>
    <x v="2"/>
    <x v="1"/>
    <x v="7"/>
    <x v="0"/>
    <x v="0"/>
  </r>
  <r>
    <x v="5"/>
    <x v="5"/>
    <x v="31"/>
    <x v="0"/>
    <x v="0"/>
    <x v="0"/>
    <x v="0"/>
  </r>
  <r>
    <x v="5"/>
    <x v="5"/>
    <x v="8"/>
    <x v="5"/>
    <x v="9"/>
    <x v="0"/>
    <x v="0"/>
  </r>
  <r>
    <x v="5"/>
    <x v="5"/>
    <x v="79"/>
    <x v="4"/>
    <x v="37"/>
    <x v="0"/>
    <x v="0"/>
  </r>
  <r>
    <x v="5"/>
    <x v="5"/>
    <x v="9"/>
    <x v="6"/>
    <x v="10"/>
    <x v="0"/>
    <x v="0"/>
  </r>
  <r>
    <x v="5"/>
    <x v="5"/>
    <x v="2"/>
    <x v="1"/>
    <x v="1"/>
    <x v="0"/>
    <x v="0"/>
  </r>
  <r>
    <x v="5"/>
    <x v="5"/>
    <x v="80"/>
    <x v="1"/>
    <x v="40"/>
    <x v="0"/>
    <x v="0"/>
  </r>
  <r>
    <x v="5"/>
    <x v="5"/>
    <x v="2"/>
    <x v="1"/>
    <x v="41"/>
    <x v="0"/>
    <x v="0"/>
  </r>
  <r>
    <x v="5"/>
    <x v="5"/>
    <x v="2"/>
    <x v="1"/>
    <x v="37"/>
    <x v="0"/>
    <x v="0"/>
  </r>
  <r>
    <x v="5"/>
    <x v="5"/>
    <x v="1"/>
    <x v="0"/>
    <x v="19"/>
    <x v="0"/>
    <x v="0"/>
  </r>
  <r>
    <x v="5"/>
    <x v="5"/>
    <x v="2"/>
    <x v="1"/>
    <x v="7"/>
    <x v="0"/>
    <x v="0"/>
  </r>
  <r>
    <x v="5"/>
    <x v="5"/>
    <x v="8"/>
    <x v="5"/>
    <x v="9"/>
    <x v="0"/>
    <x v="0"/>
  </r>
  <r>
    <x v="5"/>
    <x v="5"/>
    <x v="18"/>
    <x v="8"/>
    <x v="9"/>
    <x v="0"/>
    <x v="0"/>
  </r>
  <r>
    <x v="5"/>
    <x v="5"/>
    <x v="81"/>
    <x v="4"/>
    <x v="9"/>
    <x v="0"/>
    <x v="0"/>
  </r>
  <r>
    <x v="5"/>
    <x v="5"/>
    <x v="2"/>
    <x v="1"/>
    <x v="19"/>
    <x v="0"/>
    <x v="0"/>
  </r>
  <r>
    <x v="6"/>
    <x v="0"/>
    <x v="82"/>
    <x v="7"/>
    <x v="1"/>
    <x v="0"/>
    <x v="1"/>
  </r>
  <r>
    <x v="6"/>
    <x v="0"/>
    <x v="12"/>
    <x v="7"/>
    <x v="19"/>
    <x v="0"/>
    <x v="1"/>
  </r>
  <r>
    <x v="6"/>
    <x v="0"/>
    <x v="12"/>
    <x v="7"/>
    <x v="18"/>
    <x v="0"/>
    <x v="1"/>
  </r>
  <r>
    <x v="6"/>
    <x v="0"/>
    <x v="83"/>
    <x v="1"/>
    <x v="18"/>
    <x v="0"/>
    <x v="1"/>
  </r>
  <r>
    <x v="6"/>
    <x v="0"/>
    <x v="31"/>
    <x v="0"/>
    <x v="0"/>
    <x v="0"/>
    <x v="1"/>
  </r>
  <r>
    <x v="6"/>
    <x v="0"/>
    <x v="2"/>
    <x v="1"/>
    <x v="1"/>
    <x v="0"/>
    <x v="1"/>
  </r>
  <r>
    <x v="6"/>
    <x v="0"/>
    <x v="84"/>
    <x v="8"/>
    <x v="15"/>
    <x v="0"/>
    <x v="1"/>
  </r>
  <r>
    <x v="6"/>
    <x v="0"/>
    <x v="85"/>
    <x v="4"/>
    <x v="1"/>
    <x v="0"/>
    <x v="1"/>
  </r>
  <r>
    <x v="6"/>
    <x v="0"/>
    <x v="8"/>
    <x v="5"/>
    <x v="9"/>
    <x v="0"/>
    <x v="1"/>
  </r>
  <r>
    <x v="6"/>
    <x v="0"/>
    <x v="2"/>
    <x v="1"/>
    <x v="9"/>
    <x v="0"/>
    <x v="1"/>
  </r>
  <r>
    <x v="6"/>
    <x v="0"/>
    <x v="86"/>
    <x v="1"/>
    <x v="9"/>
    <x v="0"/>
    <x v="1"/>
  </r>
  <r>
    <x v="6"/>
    <x v="0"/>
    <x v="2"/>
    <x v="1"/>
    <x v="18"/>
    <x v="0"/>
    <x v="1"/>
  </r>
  <r>
    <x v="6"/>
    <x v="0"/>
    <x v="8"/>
    <x v="5"/>
    <x v="9"/>
    <x v="0"/>
    <x v="1"/>
  </r>
  <r>
    <x v="6"/>
    <x v="0"/>
    <x v="2"/>
    <x v="1"/>
    <x v="19"/>
    <x v="0"/>
    <x v="1"/>
  </r>
  <r>
    <x v="6"/>
    <x v="0"/>
    <x v="87"/>
    <x v="0"/>
    <x v="3"/>
    <x v="0"/>
    <x v="1"/>
  </r>
  <r>
    <x v="6"/>
    <x v="0"/>
    <x v="8"/>
    <x v="5"/>
    <x v="9"/>
    <x v="0"/>
    <x v="1"/>
  </r>
  <r>
    <x v="6"/>
    <x v="0"/>
    <x v="35"/>
    <x v="1"/>
    <x v="18"/>
    <x v="0"/>
    <x v="1"/>
  </r>
  <r>
    <x v="6"/>
    <x v="0"/>
    <x v="1"/>
    <x v="0"/>
    <x v="19"/>
    <x v="0"/>
    <x v="1"/>
  </r>
  <r>
    <x v="6"/>
    <x v="0"/>
    <x v="31"/>
    <x v="0"/>
    <x v="0"/>
    <x v="0"/>
    <x v="1"/>
  </r>
  <r>
    <x v="6"/>
    <x v="0"/>
    <x v="8"/>
    <x v="5"/>
    <x v="9"/>
    <x v="0"/>
    <x v="1"/>
  </r>
  <r>
    <x v="6"/>
    <x v="0"/>
    <x v="88"/>
    <x v="1"/>
    <x v="40"/>
    <x v="0"/>
    <x v="1"/>
  </r>
  <r>
    <x v="6"/>
    <x v="0"/>
    <x v="8"/>
    <x v="5"/>
    <x v="9"/>
    <x v="0"/>
    <x v="1"/>
  </r>
  <r>
    <x v="6"/>
    <x v="0"/>
    <x v="1"/>
    <x v="0"/>
    <x v="1"/>
    <x v="0"/>
    <x v="1"/>
  </r>
  <r>
    <x v="6"/>
    <x v="0"/>
    <x v="74"/>
    <x v="0"/>
    <x v="18"/>
    <x v="0"/>
    <x v="1"/>
  </r>
  <r>
    <x v="6"/>
    <x v="0"/>
    <x v="31"/>
    <x v="0"/>
    <x v="19"/>
    <x v="0"/>
    <x v="1"/>
  </r>
  <r>
    <x v="6"/>
    <x v="0"/>
    <x v="88"/>
    <x v="1"/>
    <x v="24"/>
    <x v="0"/>
    <x v="1"/>
  </r>
  <r>
    <x v="6"/>
    <x v="0"/>
    <x v="31"/>
    <x v="0"/>
    <x v="19"/>
    <x v="0"/>
    <x v="1"/>
  </r>
  <r>
    <x v="6"/>
    <x v="0"/>
    <x v="89"/>
    <x v="1"/>
    <x v="6"/>
    <x v="0"/>
    <x v="1"/>
  </r>
  <r>
    <x v="6"/>
    <x v="0"/>
    <x v="2"/>
    <x v="1"/>
    <x v="17"/>
    <x v="0"/>
    <x v="1"/>
  </r>
  <r>
    <x v="6"/>
    <x v="0"/>
    <x v="8"/>
    <x v="5"/>
    <x v="9"/>
    <x v="0"/>
    <x v="1"/>
  </r>
  <r>
    <x v="6"/>
    <x v="0"/>
    <x v="90"/>
    <x v="4"/>
    <x v="7"/>
    <x v="0"/>
    <x v="1"/>
  </r>
  <r>
    <x v="6"/>
    <x v="0"/>
    <x v="2"/>
    <x v="1"/>
    <x v="3"/>
    <x v="0"/>
    <x v="1"/>
  </r>
  <r>
    <x v="6"/>
    <x v="0"/>
    <x v="91"/>
    <x v="4"/>
    <x v="3"/>
    <x v="0"/>
    <x v="1"/>
  </r>
  <r>
    <x v="6"/>
    <x v="0"/>
    <x v="2"/>
    <x v="1"/>
    <x v="7"/>
    <x v="0"/>
    <x v="1"/>
  </r>
  <r>
    <x v="6"/>
    <x v="0"/>
    <x v="8"/>
    <x v="5"/>
    <x v="9"/>
    <x v="0"/>
    <x v="1"/>
  </r>
  <r>
    <x v="6"/>
    <x v="0"/>
    <x v="86"/>
    <x v="1"/>
    <x v="15"/>
    <x v="0"/>
    <x v="1"/>
  </r>
  <r>
    <x v="6"/>
    <x v="0"/>
    <x v="86"/>
    <x v="1"/>
    <x v="1"/>
    <x v="0"/>
    <x v="1"/>
  </r>
  <r>
    <x v="6"/>
    <x v="0"/>
    <x v="86"/>
    <x v="1"/>
    <x v="9"/>
    <x v="0"/>
    <x v="1"/>
  </r>
  <r>
    <x v="6"/>
    <x v="0"/>
    <x v="86"/>
    <x v="1"/>
    <x v="2"/>
    <x v="0"/>
    <x v="1"/>
  </r>
  <r>
    <x v="6"/>
    <x v="0"/>
    <x v="92"/>
    <x v="7"/>
    <x v="19"/>
    <x v="0"/>
    <x v="1"/>
  </r>
  <r>
    <x v="6"/>
    <x v="0"/>
    <x v="86"/>
    <x v="1"/>
    <x v="18"/>
    <x v="0"/>
    <x v="1"/>
  </r>
  <r>
    <x v="6"/>
    <x v="0"/>
    <x v="31"/>
    <x v="0"/>
    <x v="0"/>
    <x v="0"/>
    <x v="1"/>
  </r>
  <r>
    <x v="6"/>
    <x v="0"/>
    <x v="9"/>
    <x v="6"/>
    <x v="10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6"/>
    <x v="1"/>
    <x v="18"/>
    <x v="0"/>
    <x v="1"/>
  </r>
  <r>
    <x v="6"/>
    <x v="0"/>
    <x v="86"/>
    <x v="1"/>
    <x v="18"/>
    <x v="0"/>
    <x v="1"/>
  </r>
  <r>
    <x v="6"/>
    <x v="0"/>
    <x v="93"/>
    <x v="1"/>
    <x v="40"/>
    <x v="0"/>
    <x v="1"/>
  </r>
  <r>
    <x v="6"/>
    <x v="0"/>
    <x v="94"/>
    <x v="14"/>
    <x v="15"/>
    <x v="0"/>
    <x v="1"/>
  </r>
  <r>
    <x v="6"/>
    <x v="0"/>
    <x v="95"/>
    <x v="1"/>
    <x v="26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96"/>
    <x v="1"/>
    <x v="17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97"/>
    <x v="1"/>
    <x v="37"/>
    <x v="0"/>
    <x v="1"/>
  </r>
  <r>
    <x v="6"/>
    <x v="0"/>
    <x v="98"/>
    <x v="0"/>
    <x v="1"/>
    <x v="0"/>
    <x v="1"/>
  </r>
  <r>
    <x v="6"/>
    <x v="0"/>
    <x v="99"/>
    <x v="4"/>
    <x v="28"/>
    <x v="0"/>
    <x v="1"/>
  </r>
  <r>
    <x v="6"/>
    <x v="0"/>
    <x v="8"/>
    <x v="5"/>
    <x v="9"/>
    <x v="0"/>
    <x v="1"/>
  </r>
  <r>
    <x v="6"/>
    <x v="0"/>
    <x v="66"/>
    <x v="1"/>
    <x v="6"/>
    <x v="0"/>
    <x v="1"/>
  </r>
  <r>
    <x v="6"/>
    <x v="0"/>
    <x v="100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101"/>
    <x v="13"/>
    <x v="15"/>
    <x v="0"/>
    <x v="1"/>
  </r>
  <r>
    <x v="6"/>
    <x v="0"/>
    <x v="102"/>
    <x v="6"/>
    <x v="23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7"/>
    <x v="1"/>
    <x v="5"/>
    <x v="3"/>
    <x v="42"/>
    <x v="0"/>
    <x v="1"/>
  </r>
  <r>
    <x v="7"/>
    <x v="1"/>
    <x v="8"/>
    <x v="5"/>
    <x v="9"/>
    <x v="0"/>
    <x v="1"/>
  </r>
  <r>
    <x v="7"/>
    <x v="1"/>
    <x v="2"/>
    <x v="1"/>
    <x v="15"/>
    <x v="0"/>
    <x v="1"/>
  </r>
  <r>
    <x v="7"/>
    <x v="1"/>
    <x v="103"/>
    <x v="0"/>
    <x v="43"/>
    <x v="0"/>
    <x v="1"/>
  </r>
  <r>
    <x v="7"/>
    <x v="1"/>
    <x v="104"/>
    <x v="6"/>
    <x v="15"/>
    <x v="0"/>
    <x v="1"/>
  </r>
  <r>
    <x v="7"/>
    <x v="1"/>
    <x v="2"/>
    <x v="1"/>
    <x v="2"/>
    <x v="0"/>
    <x v="1"/>
  </r>
  <r>
    <x v="7"/>
    <x v="1"/>
    <x v="2"/>
    <x v="1"/>
    <x v="6"/>
    <x v="0"/>
    <x v="1"/>
  </r>
  <r>
    <x v="7"/>
    <x v="1"/>
    <x v="8"/>
    <x v="5"/>
    <x v="9"/>
    <x v="0"/>
    <x v="1"/>
  </r>
  <r>
    <x v="7"/>
    <x v="1"/>
    <x v="8"/>
    <x v="5"/>
    <x v="9"/>
    <x v="0"/>
    <x v="1"/>
  </r>
  <r>
    <x v="7"/>
    <x v="1"/>
    <x v="105"/>
    <x v="4"/>
    <x v="3"/>
    <x v="0"/>
    <x v="1"/>
  </r>
  <r>
    <x v="7"/>
    <x v="1"/>
    <x v="106"/>
    <x v="0"/>
    <x v="44"/>
    <x v="0"/>
    <x v="1"/>
  </r>
  <r>
    <x v="7"/>
    <x v="1"/>
    <x v="9"/>
    <x v="6"/>
    <x v="10"/>
    <x v="0"/>
    <x v="1"/>
  </r>
  <r>
    <x v="7"/>
    <x v="1"/>
    <x v="80"/>
    <x v="1"/>
    <x v="17"/>
    <x v="0"/>
    <x v="1"/>
  </r>
  <r>
    <x v="7"/>
    <x v="1"/>
    <x v="107"/>
    <x v="6"/>
    <x v="45"/>
    <x v="0"/>
    <x v="1"/>
  </r>
  <r>
    <x v="7"/>
    <x v="1"/>
    <x v="2"/>
    <x v="1"/>
    <x v="3"/>
    <x v="0"/>
    <x v="1"/>
  </r>
  <r>
    <x v="7"/>
    <x v="1"/>
    <x v="8"/>
    <x v="5"/>
    <x v="9"/>
    <x v="0"/>
    <x v="1"/>
  </r>
  <r>
    <x v="7"/>
    <x v="1"/>
    <x v="8"/>
    <x v="5"/>
    <x v="9"/>
    <x v="0"/>
    <x v="1"/>
  </r>
  <r>
    <x v="7"/>
    <x v="1"/>
    <x v="92"/>
    <x v="7"/>
    <x v="19"/>
    <x v="0"/>
    <x v="1"/>
  </r>
  <r>
    <x v="7"/>
    <x v="1"/>
    <x v="8"/>
    <x v="5"/>
    <x v="9"/>
    <x v="0"/>
    <x v="1"/>
  </r>
  <r>
    <x v="8"/>
    <x v="2"/>
    <x v="96"/>
    <x v="1"/>
    <x v="6"/>
    <x v="0"/>
    <x v="1"/>
  </r>
  <r>
    <x v="8"/>
    <x v="2"/>
    <x v="2"/>
    <x v="1"/>
    <x v="3"/>
    <x v="0"/>
    <x v="1"/>
  </r>
  <r>
    <x v="8"/>
    <x v="2"/>
    <x v="108"/>
    <x v="0"/>
    <x v="46"/>
    <x v="0"/>
    <x v="1"/>
  </r>
  <r>
    <x v="8"/>
    <x v="2"/>
    <x v="2"/>
    <x v="1"/>
    <x v="3"/>
    <x v="0"/>
    <x v="1"/>
  </r>
  <r>
    <x v="8"/>
    <x v="2"/>
    <x v="2"/>
    <x v="1"/>
    <x v="17"/>
    <x v="0"/>
    <x v="1"/>
  </r>
  <r>
    <x v="8"/>
    <x v="2"/>
    <x v="109"/>
    <x v="4"/>
    <x v="47"/>
    <x v="0"/>
    <x v="1"/>
  </r>
  <r>
    <x v="8"/>
    <x v="2"/>
    <x v="31"/>
    <x v="0"/>
    <x v="19"/>
    <x v="0"/>
    <x v="1"/>
  </r>
  <r>
    <x v="8"/>
    <x v="2"/>
    <x v="8"/>
    <x v="5"/>
    <x v="9"/>
    <x v="0"/>
    <x v="1"/>
  </r>
  <r>
    <x v="8"/>
    <x v="2"/>
    <x v="110"/>
    <x v="0"/>
    <x v="4"/>
    <x v="0"/>
    <x v="1"/>
  </r>
  <r>
    <x v="8"/>
    <x v="2"/>
    <x v="8"/>
    <x v="5"/>
    <x v="9"/>
    <x v="0"/>
    <x v="1"/>
  </r>
  <r>
    <x v="8"/>
    <x v="2"/>
    <x v="8"/>
    <x v="5"/>
    <x v="9"/>
    <x v="0"/>
    <x v="1"/>
  </r>
  <r>
    <x v="9"/>
    <x v="3"/>
    <x v="111"/>
    <x v="4"/>
    <x v="15"/>
    <x v="0"/>
    <x v="1"/>
  </r>
  <r>
    <x v="9"/>
    <x v="3"/>
    <x v="112"/>
    <x v="1"/>
    <x v="48"/>
    <x v="0"/>
    <x v="1"/>
  </r>
  <r>
    <x v="9"/>
    <x v="3"/>
    <x v="25"/>
    <x v="1"/>
    <x v="37"/>
    <x v="0"/>
    <x v="1"/>
  </r>
  <r>
    <x v="9"/>
    <x v="3"/>
    <x v="113"/>
    <x v="6"/>
    <x v="1"/>
    <x v="0"/>
    <x v="1"/>
  </r>
  <r>
    <x v="9"/>
    <x v="3"/>
    <x v="2"/>
    <x v="1"/>
    <x v="1"/>
    <x v="0"/>
    <x v="1"/>
  </r>
  <r>
    <x v="9"/>
    <x v="3"/>
    <x v="114"/>
    <x v="13"/>
    <x v="47"/>
    <x v="0"/>
    <x v="1"/>
  </r>
  <r>
    <x v="9"/>
    <x v="3"/>
    <x v="86"/>
    <x v="1"/>
    <x v="6"/>
    <x v="0"/>
    <x v="1"/>
  </r>
  <r>
    <x v="9"/>
    <x v="3"/>
    <x v="115"/>
    <x v="0"/>
    <x v="36"/>
    <x v="0"/>
    <x v="1"/>
  </r>
  <r>
    <x v="9"/>
    <x v="3"/>
    <x v="88"/>
    <x v="1"/>
    <x v="9"/>
    <x v="0"/>
    <x v="1"/>
  </r>
  <r>
    <x v="9"/>
    <x v="3"/>
    <x v="0"/>
    <x v="0"/>
    <x v="41"/>
    <x v="0"/>
    <x v="1"/>
  </r>
  <r>
    <x v="9"/>
    <x v="3"/>
    <x v="2"/>
    <x v="1"/>
    <x v="1"/>
    <x v="0"/>
    <x v="1"/>
  </r>
  <r>
    <x v="9"/>
    <x v="3"/>
    <x v="5"/>
    <x v="3"/>
    <x v="15"/>
    <x v="0"/>
    <x v="1"/>
  </r>
  <r>
    <x v="9"/>
    <x v="3"/>
    <x v="8"/>
    <x v="5"/>
    <x v="9"/>
    <x v="0"/>
    <x v="1"/>
  </r>
  <r>
    <x v="9"/>
    <x v="3"/>
    <x v="116"/>
    <x v="10"/>
    <x v="49"/>
    <x v="0"/>
    <x v="1"/>
  </r>
  <r>
    <x v="9"/>
    <x v="3"/>
    <x v="66"/>
    <x v="1"/>
    <x v="1"/>
    <x v="0"/>
    <x v="1"/>
  </r>
  <r>
    <x v="9"/>
    <x v="3"/>
    <x v="8"/>
    <x v="5"/>
    <x v="9"/>
    <x v="0"/>
    <x v="1"/>
  </r>
  <r>
    <x v="9"/>
    <x v="3"/>
    <x v="86"/>
    <x v="1"/>
    <x v="7"/>
    <x v="0"/>
    <x v="1"/>
  </r>
  <r>
    <x v="9"/>
    <x v="3"/>
    <x v="117"/>
    <x v="4"/>
    <x v="15"/>
    <x v="0"/>
    <x v="1"/>
  </r>
  <r>
    <x v="9"/>
    <x v="3"/>
    <x v="118"/>
    <x v="4"/>
    <x v="4"/>
    <x v="0"/>
    <x v="1"/>
  </r>
  <r>
    <x v="9"/>
    <x v="3"/>
    <x v="119"/>
    <x v="4"/>
    <x v="50"/>
    <x v="0"/>
    <x v="1"/>
  </r>
  <r>
    <x v="9"/>
    <x v="3"/>
    <x v="120"/>
    <x v="4"/>
    <x v="28"/>
    <x v="0"/>
    <x v="1"/>
  </r>
  <r>
    <x v="9"/>
    <x v="3"/>
    <x v="18"/>
    <x v="8"/>
    <x v="15"/>
    <x v="0"/>
    <x v="1"/>
  </r>
  <r>
    <x v="9"/>
    <x v="3"/>
    <x v="2"/>
    <x v="1"/>
    <x v="2"/>
    <x v="0"/>
    <x v="1"/>
  </r>
  <r>
    <x v="9"/>
    <x v="3"/>
    <x v="121"/>
    <x v="0"/>
    <x v="15"/>
    <x v="0"/>
    <x v="1"/>
  </r>
  <r>
    <x v="9"/>
    <x v="3"/>
    <x v="122"/>
    <x v="2"/>
    <x v="17"/>
    <x v="0"/>
    <x v="1"/>
  </r>
  <r>
    <x v="9"/>
    <x v="3"/>
    <x v="86"/>
    <x v="1"/>
    <x v="6"/>
    <x v="0"/>
    <x v="1"/>
  </r>
  <r>
    <x v="9"/>
    <x v="3"/>
    <x v="8"/>
    <x v="5"/>
    <x v="9"/>
    <x v="0"/>
    <x v="1"/>
  </r>
  <r>
    <x v="9"/>
    <x v="3"/>
    <x v="2"/>
    <x v="1"/>
    <x v="6"/>
    <x v="0"/>
    <x v="1"/>
  </r>
  <r>
    <x v="9"/>
    <x v="3"/>
    <x v="2"/>
    <x v="1"/>
    <x v="18"/>
    <x v="0"/>
    <x v="1"/>
  </r>
  <r>
    <x v="9"/>
    <x v="3"/>
    <x v="2"/>
    <x v="1"/>
    <x v="1"/>
    <x v="0"/>
    <x v="1"/>
  </r>
  <r>
    <x v="9"/>
    <x v="3"/>
    <x v="6"/>
    <x v="2"/>
    <x v="3"/>
    <x v="0"/>
    <x v="1"/>
  </r>
  <r>
    <x v="10"/>
    <x v="4"/>
    <x v="2"/>
    <x v="1"/>
    <x v="19"/>
    <x v="0"/>
    <x v="1"/>
  </r>
  <r>
    <x v="10"/>
    <x v="4"/>
    <x v="123"/>
    <x v="13"/>
    <x v="42"/>
    <x v="0"/>
    <x v="1"/>
  </r>
  <r>
    <x v="10"/>
    <x v="4"/>
    <x v="53"/>
    <x v="1"/>
    <x v="7"/>
    <x v="0"/>
    <x v="1"/>
  </r>
  <r>
    <x v="10"/>
    <x v="4"/>
    <x v="124"/>
    <x v="7"/>
    <x v="0"/>
    <x v="0"/>
    <x v="1"/>
  </r>
  <r>
    <x v="10"/>
    <x v="4"/>
    <x v="8"/>
    <x v="5"/>
    <x v="9"/>
    <x v="0"/>
    <x v="1"/>
  </r>
  <r>
    <x v="10"/>
    <x v="4"/>
    <x v="2"/>
    <x v="1"/>
    <x v="1"/>
    <x v="0"/>
    <x v="1"/>
  </r>
  <r>
    <x v="10"/>
    <x v="4"/>
    <x v="8"/>
    <x v="5"/>
    <x v="9"/>
    <x v="0"/>
    <x v="1"/>
  </r>
  <r>
    <x v="10"/>
    <x v="4"/>
    <x v="1"/>
    <x v="0"/>
    <x v="19"/>
    <x v="0"/>
    <x v="1"/>
  </r>
  <r>
    <x v="10"/>
    <x v="4"/>
    <x v="86"/>
    <x v="1"/>
    <x v="15"/>
    <x v="0"/>
    <x v="1"/>
  </r>
  <r>
    <x v="10"/>
    <x v="4"/>
    <x v="88"/>
    <x v="1"/>
    <x v="2"/>
    <x v="0"/>
    <x v="1"/>
  </r>
  <r>
    <x v="10"/>
    <x v="4"/>
    <x v="73"/>
    <x v="9"/>
    <x v="3"/>
    <x v="0"/>
    <x v="1"/>
  </r>
  <r>
    <x v="10"/>
    <x v="4"/>
    <x v="1"/>
    <x v="0"/>
    <x v="51"/>
    <x v="0"/>
    <x v="1"/>
  </r>
  <r>
    <x v="10"/>
    <x v="4"/>
    <x v="1"/>
    <x v="0"/>
    <x v="6"/>
    <x v="0"/>
    <x v="1"/>
  </r>
  <r>
    <x v="10"/>
    <x v="4"/>
    <x v="125"/>
    <x v="0"/>
    <x v="19"/>
    <x v="0"/>
    <x v="1"/>
  </r>
  <r>
    <x v="10"/>
    <x v="4"/>
    <x v="31"/>
    <x v="0"/>
    <x v="19"/>
    <x v="0"/>
    <x v="1"/>
  </r>
  <r>
    <x v="10"/>
    <x v="4"/>
    <x v="126"/>
    <x v="4"/>
    <x v="18"/>
    <x v="0"/>
    <x v="1"/>
  </r>
  <r>
    <x v="10"/>
    <x v="4"/>
    <x v="127"/>
    <x v="0"/>
    <x v="1"/>
    <x v="0"/>
    <x v="1"/>
  </r>
  <r>
    <x v="10"/>
    <x v="4"/>
    <x v="128"/>
    <x v="7"/>
    <x v="19"/>
    <x v="0"/>
    <x v="1"/>
  </r>
  <r>
    <x v="10"/>
    <x v="4"/>
    <x v="5"/>
    <x v="3"/>
    <x v="7"/>
    <x v="0"/>
    <x v="1"/>
  </r>
  <r>
    <x v="10"/>
    <x v="4"/>
    <x v="129"/>
    <x v="1"/>
    <x v="52"/>
    <x v="0"/>
    <x v="1"/>
  </r>
  <r>
    <x v="10"/>
    <x v="4"/>
    <x v="72"/>
    <x v="1"/>
    <x v="15"/>
    <x v="0"/>
    <x v="1"/>
  </r>
  <r>
    <x v="10"/>
    <x v="4"/>
    <x v="130"/>
    <x v="0"/>
    <x v="53"/>
    <x v="0"/>
    <x v="1"/>
  </r>
  <r>
    <x v="10"/>
    <x v="4"/>
    <x v="86"/>
    <x v="1"/>
    <x v="40"/>
    <x v="0"/>
    <x v="1"/>
  </r>
  <r>
    <x v="10"/>
    <x v="4"/>
    <x v="7"/>
    <x v="4"/>
    <x v="24"/>
    <x v="0"/>
    <x v="1"/>
  </r>
  <r>
    <x v="10"/>
    <x v="4"/>
    <x v="86"/>
    <x v="1"/>
    <x v="26"/>
    <x v="0"/>
    <x v="1"/>
  </r>
  <r>
    <x v="10"/>
    <x v="4"/>
    <x v="131"/>
    <x v="0"/>
    <x v="4"/>
    <x v="0"/>
    <x v="1"/>
  </r>
  <r>
    <x v="10"/>
    <x v="4"/>
    <x v="8"/>
    <x v="5"/>
    <x v="9"/>
    <x v="0"/>
    <x v="1"/>
  </r>
  <r>
    <x v="10"/>
    <x v="4"/>
    <x v="8"/>
    <x v="5"/>
    <x v="9"/>
    <x v="0"/>
    <x v="1"/>
  </r>
  <r>
    <x v="10"/>
    <x v="4"/>
    <x v="117"/>
    <x v="4"/>
    <x v="15"/>
    <x v="0"/>
    <x v="1"/>
  </r>
  <r>
    <x v="10"/>
    <x v="4"/>
    <x v="8"/>
    <x v="5"/>
    <x v="9"/>
    <x v="0"/>
    <x v="1"/>
  </r>
  <r>
    <x v="10"/>
    <x v="4"/>
    <x v="90"/>
    <x v="4"/>
    <x v="18"/>
    <x v="0"/>
    <x v="1"/>
  </r>
  <r>
    <x v="10"/>
    <x v="4"/>
    <x v="132"/>
    <x v="4"/>
    <x v="8"/>
    <x v="0"/>
    <x v="1"/>
  </r>
  <r>
    <x v="10"/>
    <x v="4"/>
    <x v="7"/>
    <x v="4"/>
    <x v="29"/>
    <x v="0"/>
    <x v="1"/>
  </r>
  <r>
    <x v="10"/>
    <x v="4"/>
    <x v="8"/>
    <x v="5"/>
    <x v="9"/>
    <x v="0"/>
    <x v="1"/>
  </r>
  <r>
    <x v="10"/>
    <x v="4"/>
    <x v="133"/>
    <x v="4"/>
    <x v="8"/>
    <x v="0"/>
    <x v="1"/>
  </r>
  <r>
    <x v="10"/>
    <x v="4"/>
    <x v="134"/>
    <x v="4"/>
    <x v="51"/>
    <x v="0"/>
    <x v="1"/>
  </r>
  <r>
    <x v="11"/>
    <x v="5"/>
    <x v="135"/>
    <x v="5"/>
    <x v="10"/>
    <x v="0"/>
    <x v="1"/>
  </r>
  <r>
    <x v="11"/>
    <x v="5"/>
    <x v="2"/>
    <x v="1"/>
    <x v="1"/>
    <x v="0"/>
    <x v="1"/>
  </r>
  <r>
    <x v="11"/>
    <x v="5"/>
    <x v="136"/>
    <x v="0"/>
    <x v="54"/>
    <x v="0"/>
    <x v="1"/>
  </r>
  <r>
    <x v="11"/>
    <x v="5"/>
    <x v="137"/>
    <x v="5"/>
    <x v="9"/>
    <x v="0"/>
    <x v="1"/>
  </r>
  <r>
    <x v="11"/>
    <x v="5"/>
    <x v="138"/>
    <x v="4"/>
    <x v="42"/>
    <x v="0"/>
    <x v="1"/>
  </r>
  <r>
    <x v="11"/>
    <x v="5"/>
    <x v="139"/>
    <x v="1"/>
    <x v="9"/>
    <x v="0"/>
    <x v="1"/>
  </r>
  <r>
    <x v="11"/>
    <x v="5"/>
    <x v="140"/>
    <x v="0"/>
    <x v="32"/>
    <x v="0"/>
    <x v="1"/>
  </r>
  <r>
    <x v="11"/>
    <x v="5"/>
    <x v="132"/>
    <x v="4"/>
    <x v="5"/>
    <x v="0"/>
    <x v="1"/>
  </r>
  <r>
    <x v="11"/>
    <x v="5"/>
    <x v="8"/>
    <x v="5"/>
    <x v="9"/>
    <x v="0"/>
    <x v="1"/>
  </r>
  <r>
    <x v="11"/>
    <x v="5"/>
    <x v="66"/>
    <x v="1"/>
    <x v="19"/>
    <x v="0"/>
    <x v="1"/>
  </r>
  <r>
    <x v="11"/>
    <x v="5"/>
    <x v="9"/>
    <x v="6"/>
    <x v="10"/>
    <x v="0"/>
    <x v="1"/>
  </r>
  <r>
    <x v="11"/>
    <x v="5"/>
    <x v="141"/>
    <x v="0"/>
    <x v="23"/>
    <x v="0"/>
    <x v="1"/>
  </r>
  <r>
    <x v="11"/>
    <x v="5"/>
    <x v="86"/>
    <x v="1"/>
    <x v="6"/>
    <x v="0"/>
    <x v="1"/>
  </r>
  <r>
    <x v="11"/>
    <x v="5"/>
    <x v="86"/>
    <x v="1"/>
    <x v="1"/>
    <x v="0"/>
    <x v="1"/>
  </r>
  <r>
    <x v="11"/>
    <x v="5"/>
    <x v="142"/>
    <x v="1"/>
    <x v="40"/>
    <x v="0"/>
    <x v="1"/>
  </r>
  <r>
    <x v="11"/>
    <x v="5"/>
    <x v="66"/>
    <x v="1"/>
    <x v="18"/>
    <x v="0"/>
    <x v="1"/>
  </r>
  <r>
    <x v="11"/>
    <x v="5"/>
    <x v="131"/>
    <x v="0"/>
    <x v="4"/>
    <x v="0"/>
    <x v="1"/>
  </r>
  <r>
    <x v="11"/>
    <x v="5"/>
    <x v="66"/>
    <x v="1"/>
    <x v="1"/>
    <x v="0"/>
    <x v="1"/>
  </r>
  <r>
    <x v="11"/>
    <x v="5"/>
    <x v="66"/>
    <x v="1"/>
    <x v="6"/>
    <x v="0"/>
    <x v="1"/>
  </r>
  <r>
    <x v="11"/>
    <x v="5"/>
    <x v="66"/>
    <x v="1"/>
    <x v="6"/>
    <x v="0"/>
    <x v="1"/>
  </r>
  <r>
    <x v="11"/>
    <x v="5"/>
    <x v="143"/>
    <x v="12"/>
    <x v="24"/>
    <x v="0"/>
    <x v="1"/>
  </r>
  <r>
    <x v="11"/>
    <x v="5"/>
    <x v="86"/>
    <x v="1"/>
    <x v="9"/>
    <x v="0"/>
    <x v="1"/>
  </r>
  <r>
    <x v="11"/>
    <x v="5"/>
    <x v="144"/>
    <x v="2"/>
    <x v="5"/>
    <x v="0"/>
    <x v="1"/>
  </r>
  <r>
    <x v="11"/>
    <x v="5"/>
    <x v="145"/>
    <x v="4"/>
    <x v="8"/>
    <x v="0"/>
    <x v="1"/>
  </r>
  <r>
    <x v="11"/>
    <x v="5"/>
    <x v="146"/>
    <x v="4"/>
    <x v="15"/>
    <x v="0"/>
    <x v="1"/>
  </r>
  <r>
    <x v="11"/>
    <x v="5"/>
    <x v="8"/>
    <x v="5"/>
    <x v="9"/>
    <x v="0"/>
    <x v="1"/>
  </r>
  <r>
    <x v="11"/>
    <x v="5"/>
    <x v="147"/>
    <x v="0"/>
    <x v="1"/>
    <x v="0"/>
    <x v="1"/>
  </r>
  <r>
    <x v="11"/>
    <x v="5"/>
    <x v="148"/>
    <x v="4"/>
    <x v="7"/>
    <x v="0"/>
    <x v="1"/>
  </r>
  <r>
    <x v="11"/>
    <x v="5"/>
    <x v="86"/>
    <x v="1"/>
    <x v="15"/>
    <x v="0"/>
    <x v="1"/>
  </r>
  <r>
    <x v="11"/>
    <x v="5"/>
    <x v="101"/>
    <x v="13"/>
    <x v="8"/>
    <x v="0"/>
    <x v="1"/>
  </r>
  <r>
    <x v="11"/>
    <x v="5"/>
    <x v="86"/>
    <x v="1"/>
    <x v="18"/>
    <x v="0"/>
    <x v="1"/>
  </r>
  <r>
    <x v="11"/>
    <x v="5"/>
    <x v="149"/>
    <x v="0"/>
    <x v="55"/>
    <x v="0"/>
    <x v="1"/>
  </r>
  <r>
    <x v="12"/>
    <x v="0"/>
    <x v="150"/>
    <x v="4"/>
    <x v="56"/>
    <x v="0"/>
    <x v="2"/>
  </r>
  <r>
    <x v="12"/>
    <x v="0"/>
    <x v="151"/>
    <x v="5"/>
    <x v="57"/>
    <x v="0"/>
    <x v="2"/>
  </r>
  <r>
    <x v="12"/>
    <x v="0"/>
    <x v="8"/>
    <x v="5"/>
    <x v="9"/>
    <x v="0"/>
    <x v="2"/>
  </r>
  <r>
    <x v="12"/>
    <x v="0"/>
    <x v="132"/>
    <x v="4"/>
    <x v="3"/>
    <x v="0"/>
    <x v="2"/>
  </r>
  <r>
    <x v="12"/>
    <x v="0"/>
    <x v="152"/>
    <x v="4"/>
    <x v="58"/>
    <x v="0"/>
    <x v="2"/>
  </r>
  <r>
    <x v="12"/>
    <x v="0"/>
    <x v="153"/>
    <x v="12"/>
    <x v="8"/>
    <x v="0"/>
    <x v="2"/>
  </r>
  <r>
    <x v="12"/>
    <x v="0"/>
    <x v="86"/>
    <x v="1"/>
    <x v="9"/>
    <x v="0"/>
    <x v="2"/>
  </r>
  <r>
    <x v="12"/>
    <x v="0"/>
    <x v="9"/>
    <x v="6"/>
    <x v="10"/>
    <x v="0"/>
    <x v="2"/>
  </r>
  <r>
    <x v="12"/>
    <x v="0"/>
    <x v="86"/>
    <x v="1"/>
    <x v="9"/>
    <x v="0"/>
    <x v="2"/>
  </r>
  <r>
    <x v="12"/>
    <x v="0"/>
    <x v="154"/>
    <x v="0"/>
    <x v="46"/>
    <x v="0"/>
    <x v="2"/>
  </r>
  <r>
    <x v="12"/>
    <x v="0"/>
    <x v="155"/>
    <x v="0"/>
    <x v="6"/>
    <x v="0"/>
    <x v="2"/>
  </r>
  <r>
    <x v="12"/>
    <x v="0"/>
    <x v="86"/>
    <x v="1"/>
    <x v="1"/>
    <x v="0"/>
    <x v="2"/>
  </r>
  <r>
    <x v="12"/>
    <x v="0"/>
    <x v="86"/>
    <x v="1"/>
    <x v="59"/>
    <x v="0"/>
    <x v="2"/>
  </r>
  <r>
    <x v="12"/>
    <x v="0"/>
    <x v="86"/>
    <x v="1"/>
    <x v="9"/>
    <x v="0"/>
    <x v="2"/>
  </r>
  <r>
    <x v="12"/>
    <x v="0"/>
    <x v="114"/>
    <x v="13"/>
    <x v="60"/>
    <x v="0"/>
    <x v="2"/>
  </r>
  <r>
    <x v="12"/>
    <x v="0"/>
    <x v="66"/>
    <x v="1"/>
    <x v="1"/>
    <x v="0"/>
    <x v="2"/>
  </r>
  <r>
    <x v="12"/>
    <x v="0"/>
    <x v="156"/>
    <x v="1"/>
    <x v="15"/>
    <x v="0"/>
    <x v="2"/>
  </r>
  <r>
    <x v="12"/>
    <x v="0"/>
    <x v="8"/>
    <x v="5"/>
    <x v="9"/>
    <x v="0"/>
    <x v="2"/>
  </r>
  <r>
    <x v="12"/>
    <x v="0"/>
    <x v="157"/>
    <x v="7"/>
    <x v="1"/>
    <x v="0"/>
    <x v="2"/>
  </r>
  <r>
    <x v="12"/>
    <x v="0"/>
    <x v="158"/>
    <x v="0"/>
    <x v="8"/>
    <x v="0"/>
    <x v="2"/>
  </r>
  <r>
    <x v="12"/>
    <x v="0"/>
    <x v="91"/>
    <x v="4"/>
    <x v="3"/>
    <x v="0"/>
    <x v="2"/>
  </r>
  <r>
    <x v="12"/>
    <x v="0"/>
    <x v="159"/>
    <x v="4"/>
    <x v="61"/>
    <x v="0"/>
    <x v="2"/>
  </r>
  <r>
    <x v="12"/>
    <x v="0"/>
    <x v="156"/>
    <x v="1"/>
    <x v="62"/>
    <x v="0"/>
    <x v="2"/>
  </r>
  <r>
    <x v="12"/>
    <x v="0"/>
    <x v="160"/>
    <x v="0"/>
    <x v="19"/>
    <x v="0"/>
    <x v="2"/>
  </r>
  <r>
    <x v="12"/>
    <x v="0"/>
    <x v="1"/>
    <x v="0"/>
    <x v="41"/>
    <x v="0"/>
    <x v="2"/>
  </r>
  <r>
    <x v="12"/>
    <x v="0"/>
    <x v="8"/>
    <x v="5"/>
    <x v="9"/>
    <x v="0"/>
    <x v="2"/>
  </r>
  <r>
    <x v="12"/>
    <x v="0"/>
    <x v="73"/>
    <x v="9"/>
    <x v="17"/>
    <x v="0"/>
    <x v="2"/>
  </r>
  <r>
    <x v="12"/>
    <x v="0"/>
    <x v="66"/>
    <x v="1"/>
    <x v="2"/>
    <x v="0"/>
    <x v="2"/>
  </r>
  <r>
    <x v="12"/>
    <x v="0"/>
    <x v="8"/>
    <x v="5"/>
    <x v="9"/>
    <x v="0"/>
    <x v="2"/>
  </r>
  <r>
    <x v="12"/>
    <x v="0"/>
    <x v="1"/>
    <x v="0"/>
    <x v="6"/>
    <x v="0"/>
    <x v="2"/>
  </r>
  <r>
    <x v="12"/>
    <x v="0"/>
    <x v="161"/>
    <x v="1"/>
    <x v="19"/>
    <x v="0"/>
    <x v="2"/>
  </r>
  <r>
    <x v="12"/>
    <x v="0"/>
    <x v="8"/>
    <x v="5"/>
    <x v="9"/>
    <x v="0"/>
    <x v="2"/>
  </r>
  <r>
    <x v="12"/>
    <x v="0"/>
    <x v="101"/>
    <x v="13"/>
    <x v="47"/>
    <x v="0"/>
    <x v="2"/>
  </r>
  <r>
    <x v="12"/>
    <x v="0"/>
    <x v="1"/>
    <x v="0"/>
    <x v="6"/>
    <x v="0"/>
    <x v="2"/>
  </r>
  <r>
    <x v="12"/>
    <x v="0"/>
    <x v="8"/>
    <x v="5"/>
    <x v="9"/>
    <x v="0"/>
    <x v="2"/>
  </r>
  <r>
    <x v="12"/>
    <x v="0"/>
    <x v="31"/>
    <x v="0"/>
    <x v="0"/>
    <x v="0"/>
    <x v="2"/>
  </r>
  <r>
    <x v="12"/>
    <x v="0"/>
    <x v="84"/>
    <x v="8"/>
    <x v="15"/>
    <x v="0"/>
    <x v="2"/>
  </r>
  <r>
    <x v="12"/>
    <x v="0"/>
    <x v="2"/>
    <x v="1"/>
    <x v="18"/>
    <x v="0"/>
    <x v="2"/>
  </r>
  <r>
    <x v="12"/>
    <x v="0"/>
    <x v="86"/>
    <x v="1"/>
    <x v="1"/>
    <x v="0"/>
    <x v="2"/>
  </r>
  <r>
    <x v="12"/>
    <x v="0"/>
    <x v="162"/>
    <x v="1"/>
    <x v="6"/>
    <x v="0"/>
    <x v="2"/>
  </r>
  <r>
    <x v="12"/>
    <x v="0"/>
    <x v="2"/>
    <x v="1"/>
    <x v="1"/>
    <x v="0"/>
    <x v="2"/>
  </r>
  <r>
    <x v="12"/>
    <x v="0"/>
    <x v="163"/>
    <x v="0"/>
    <x v="36"/>
    <x v="0"/>
    <x v="2"/>
  </r>
  <r>
    <x v="12"/>
    <x v="0"/>
    <x v="2"/>
    <x v="1"/>
    <x v="2"/>
    <x v="0"/>
    <x v="2"/>
  </r>
  <r>
    <x v="12"/>
    <x v="0"/>
    <x v="2"/>
    <x v="1"/>
    <x v="6"/>
    <x v="0"/>
    <x v="2"/>
  </r>
  <r>
    <x v="12"/>
    <x v="0"/>
    <x v="96"/>
    <x v="1"/>
    <x v="1"/>
    <x v="0"/>
    <x v="2"/>
  </r>
  <r>
    <x v="12"/>
    <x v="0"/>
    <x v="164"/>
    <x v="15"/>
    <x v="63"/>
    <x v="0"/>
    <x v="2"/>
  </r>
  <r>
    <x v="12"/>
    <x v="0"/>
    <x v="165"/>
    <x v="2"/>
    <x v="6"/>
    <x v="0"/>
    <x v="2"/>
  </r>
  <r>
    <x v="12"/>
    <x v="0"/>
    <x v="163"/>
    <x v="0"/>
    <x v="0"/>
    <x v="0"/>
    <x v="2"/>
  </r>
  <r>
    <x v="12"/>
    <x v="0"/>
    <x v="166"/>
    <x v="9"/>
    <x v="24"/>
    <x v="0"/>
    <x v="2"/>
  </r>
  <r>
    <x v="12"/>
    <x v="0"/>
    <x v="163"/>
    <x v="0"/>
    <x v="0"/>
    <x v="0"/>
    <x v="2"/>
  </r>
  <r>
    <x v="12"/>
    <x v="0"/>
    <x v="167"/>
    <x v="1"/>
    <x v="59"/>
    <x v="0"/>
    <x v="2"/>
  </r>
  <r>
    <x v="12"/>
    <x v="0"/>
    <x v="5"/>
    <x v="3"/>
    <x v="59"/>
    <x v="0"/>
    <x v="2"/>
  </r>
  <r>
    <x v="12"/>
    <x v="0"/>
    <x v="8"/>
    <x v="5"/>
    <x v="9"/>
    <x v="0"/>
    <x v="2"/>
  </r>
  <r>
    <x v="12"/>
    <x v="0"/>
    <x v="168"/>
    <x v="1"/>
    <x v="2"/>
    <x v="0"/>
    <x v="2"/>
  </r>
  <r>
    <x v="12"/>
    <x v="0"/>
    <x v="2"/>
    <x v="1"/>
    <x v="19"/>
    <x v="0"/>
    <x v="2"/>
  </r>
  <r>
    <x v="12"/>
    <x v="0"/>
    <x v="2"/>
    <x v="1"/>
    <x v="18"/>
    <x v="0"/>
    <x v="2"/>
  </r>
  <r>
    <x v="12"/>
    <x v="0"/>
    <x v="2"/>
    <x v="1"/>
    <x v="19"/>
    <x v="0"/>
    <x v="2"/>
  </r>
  <r>
    <x v="12"/>
    <x v="0"/>
    <x v="169"/>
    <x v="7"/>
    <x v="19"/>
    <x v="0"/>
    <x v="2"/>
  </r>
  <r>
    <x v="12"/>
    <x v="0"/>
    <x v="170"/>
    <x v="8"/>
    <x v="64"/>
    <x v="0"/>
    <x v="2"/>
  </r>
  <r>
    <x v="13"/>
    <x v="1"/>
    <x v="171"/>
    <x v="0"/>
    <x v="15"/>
    <x v="0"/>
    <x v="2"/>
  </r>
  <r>
    <x v="13"/>
    <x v="1"/>
    <x v="2"/>
    <x v="1"/>
    <x v="19"/>
    <x v="0"/>
    <x v="2"/>
  </r>
  <r>
    <x v="13"/>
    <x v="1"/>
    <x v="2"/>
    <x v="1"/>
    <x v="19"/>
    <x v="0"/>
    <x v="2"/>
  </r>
  <r>
    <x v="13"/>
    <x v="1"/>
    <x v="2"/>
    <x v="1"/>
    <x v="6"/>
    <x v="0"/>
    <x v="2"/>
  </r>
  <r>
    <x v="13"/>
    <x v="1"/>
    <x v="172"/>
    <x v="1"/>
    <x v="9"/>
    <x v="0"/>
    <x v="2"/>
  </r>
  <r>
    <x v="13"/>
    <x v="1"/>
    <x v="8"/>
    <x v="5"/>
    <x v="19"/>
    <x v="0"/>
    <x v="2"/>
  </r>
  <r>
    <x v="13"/>
    <x v="1"/>
    <x v="66"/>
    <x v="1"/>
    <x v="9"/>
    <x v="0"/>
    <x v="2"/>
  </r>
  <r>
    <x v="13"/>
    <x v="1"/>
    <x v="8"/>
    <x v="5"/>
    <x v="19"/>
    <x v="0"/>
    <x v="2"/>
  </r>
  <r>
    <x v="13"/>
    <x v="1"/>
    <x v="31"/>
    <x v="0"/>
    <x v="0"/>
    <x v="0"/>
    <x v="2"/>
  </r>
  <r>
    <x v="13"/>
    <x v="1"/>
    <x v="173"/>
    <x v="1"/>
    <x v="15"/>
    <x v="0"/>
    <x v="2"/>
  </r>
  <r>
    <x v="13"/>
    <x v="1"/>
    <x v="2"/>
    <x v="1"/>
    <x v="18"/>
    <x v="0"/>
    <x v="2"/>
  </r>
  <r>
    <x v="13"/>
    <x v="1"/>
    <x v="2"/>
    <x v="1"/>
    <x v="65"/>
    <x v="0"/>
    <x v="2"/>
  </r>
  <r>
    <x v="13"/>
    <x v="1"/>
    <x v="2"/>
    <x v="1"/>
    <x v="1"/>
    <x v="0"/>
    <x v="2"/>
  </r>
  <r>
    <x v="13"/>
    <x v="1"/>
    <x v="2"/>
    <x v="1"/>
    <x v="1"/>
    <x v="0"/>
    <x v="2"/>
  </r>
  <r>
    <x v="13"/>
    <x v="1"/>
    <x v="2"/>
    <x v="1"/>
    <x v="15"/>
    <x v="0"/>
    <x v="2"/>
  </r>
  <r>
    <x v="13"/>
    <x v="1"/>
    <x v="174"/>
    <x v="4"/>
    <x v="19"/>
    <x v="0"/>
    <x v="2"/>
  </r>
  <r>
    <x v="13"/>
    <x v="1"/>
    <x v="0"/>
    <x v="0"/>
    <x v="18"/>
    <x v="0"/>
    <x v="2"/>
  </r>
  <r>
    <x v="13"/>
    <x v="1"/>
    <x v="2"/>
    <x v="1"/>
    <x v="1"/>
    <x v="0"/>
    <x v="2"/>
  </r>
  <r>
    <x v="13"/>
    <x v="1"/>
    <x v="51"/>
    <x v="9"/>
    <x v="18"/>
    <x v="0"/>
    <x v="2"/>
  </r>
  <r>
    <x v="13"/>
    <x v="1"/>
    <x v="2"/>
    <x v="1"/>
    <x v="1"/>
    <x v="0"/>
    <x v="2"/>
  </r>
  <r>
    <x v="13"/>
    <x v="1"/>
    <x v="2"/>
    <x v="1"/>
    <x v="36"/>
    <x v="0"/>
    <x v="2"/>
  </r>
  <r>
    <x v="13"/>
    <x v="1"/>
    <x v="0"/>
    <x v="0"/>
    <x v="10"/>
    <x v="0"/>
    <x v="2"/>
  </r>
  <r>
    <x v="13"/>
    <x v="1"/>
    <x v="90"/>
    <x v="4"/>
    <x v="18"/>
    <x v="0"/>
    <x v="2"/>
  </r>
  <r>
    <x v="13"/>
    <x v="1"/>
    <x v="0"/>
    <x v="0"/>
    <x v="36"/>
    <x v="0"/>
    <x v="2"/>
  </r>
  <r>
    <x v="13"/>
    <x v="1"/>
    <x v="2"/>
    <x v="1"/>
    <x v="6"/>
    <x v="0"/>
    <x v="2"/>
  </r>
  <r>
    <x v="13"/>
    <x v="1"/>
    <x v="73"/>
    <x v="9"/>
    <x v="17"/>
    <x v="0"/>
    <x v="2"/>
  </r>
  <r>
    <x v="13"/>
    <x v="1"/>
    <x v="175"/>
    <x v="1"/>
    <x v="9"/>
    <x v="0"/>
    <x v="2"/>
  </r>
  <r>
    <x v="13"/>
    <x v="1"/>
    <x v="176"/>
    <x v="7"/>
    <x v="19"/>
    <x v="0"/>
    <x v="2"/>
  </r>
  <r>
    <x v="13"/>
    <x v="1"/>
    <x v="177"/>
    <x v="1"/>
    <x v="18"/>
    <x v="0"/>
    <x v="2"/>
  </r>
  <r>
    <x v="13"/>
    <x v="1"/>
    <x v="160"/>
    <x v="0"/>
    <x v="19"/>
    <x v="0"/>
    <x v="2"/>
  </r>
  <r>
    <x v="13"/>
    <x v="1"/>
    <x v="163"/>
    <x v="0"/>
    <x v="0"/>
    <x v="0"/>
    <x v="2"/>
  </r>
  <r>
    <x v="13"/>
    <x v="1"/>
    <x v="2"/>
    <x v="1"/>
    <x v="19"/>
    <x v="0"/>
    <x v="2"/>
  </r>
  <r>
    <x v="13"/>
    <x v="1"/>
    <x v="178"/>
    <x v="6"/>
    <x v="10"/>
    <x v="0"/>
    <x v="2"/>
  </r>
  <r>
    <x v="13"/>
    <x v="1"/>
    <x v="8"/>
    <x v="5"/>
    <x v="9"/>
    <x v="0"/>
    <x v="2"/>
  </r>
  <r>
    <x v="13"/>
    <x v="1"/>
    <x v="9"/>
    <x v="6"/>
    <x v="10"/>
    <x v="0"/>
    <x v="2"/>
  </r>
  <r>
    <x v="13"/>
    <x v="1"/>
    <x v="8"/>
    <x v="5"/>
    <x v="9"/>
    <x v="0"/>
    <x v="2"/>
  </r>
  <r>
    <x v="13"/>
    <x v="1"/>
    <x v="179"/>
    <x v="0"/>
    <x v="3"/>
    <x v="0"/>
    <x v="2"/>
  </r>
  <r>
    <x v="13"/>
    <x v="1"/>
    <x v="2"/>
    <x v="1"/>
    <x v="6"/>
    <x v="0"/>
    <x v="2"/>
  </r>
  <r>
    <x v="13"/>
    <x v="1"/>
    <x v="8"/>
    <x v="5"/>
    <x v="9"/>
    <x v="0"/>
    <x v="2"/>
  </r>
  <r>
    <x v="13"/>
    <x v="1"/>
    <x v="141"/>
    <x v="0"/>
    <x v="66"/>
    <x v="0"/>
    <x v="2"/>
  </r>
  <r>
    <x v="13"/>
    <x v="1"/>
    <x v="180"/>
    <x v="1"/>
    <x v="9"/>
    <x v="0"/>
    <x v="2"/>
  </r>
  <r>
    <x v="13"/>
    <x v="1"/>
    <x v="181"/>
    <x v="4"/>
    <x v="67"/>
    <x v="0"/>
    <x v="2"/>
  </r>
  <r>
    <x v="14"/>
    <x v="2"/>
    <x v="90"/>
    <x v="4"/>
    <x v="18"/>
    <x v="0"/>
    <x v="2"/>
  </r>
  <r>
    <x v="14"/>
    <x v="2"/>
    <x v="0"/>
    <x v="0"/>
    <x v="36"/>
    <x v="0"/>
    <x v="2"/>
  </r>
  <r>
    <x v="14"/>
    <x v="2"/>
    <x v="2"/>
    <x v="1"/>
    <x v="6"/>
    <x v="0"/>
    <x v="2"/>
  </r>
  <r>
    <x v="14"/>
    <x v="2"/>
    <x v="73"/>
    <x v="9"/>
    <x v="17"/>
    <x v="0"/>
    <x v="2"/>
  </r>
  <r>
    <x v="14"/>
    <x v="2"/>
    <x v="177"/>
    <x v="1"/>
    <x v="9"/>
    <x v="0"/>
    <x v="2"/>
  </r>
  <r>
    <x v="14"/>
    <x v="2"/>
    <x v="176"/>
    <x v="7"/>
    <x v="19"/>
    <x v="0"/>
    <x v="2"/>
  </r>
  <r>
    <x v="14"/>
    <x v="2"/>
    <x v="178"/>
    <x v="6"/>
    <x v="10"/>
    <x v="0"/>
    <x v="2"/>
  </r>
  <r>
    <x v="14"/>
    <x v="2"/>
    <x v="8"/>
    <x v="5"/>
    <x v="9"/>
    <x v="0"/>
    <x v="2"/>
  </r>
  <r>
    <x v="14"/>
    <x v="2"/>
    <x v="9"/>
    <x v="6"/>
    <x v="10"/>
    <x v="0"/>
    <x v="2"/>
  </r>
  <r>
    <x v="14"/>
    <x v="2"/>
    <x v="179"/>
    <x v="0"/>
    <x v="3"/>
    <x v="0"/>
    <x v="2"/>
  </r>
  <r>
    <x v="14"/>
    <x v="2"/>
    <x v="2"/>
    <x v="1"/>
    <x v="6"/>
    <x v="0"/>
    <x v="2"/>
  </r>
  <r>
    <x v="14"/>
    <x v="2"/>
    <x v="182"/>
    <x v="4"/>
    <x v="67"/>
    <x v="0"/>
    <x v="2"/>
  </r>
  <r>
    <x v="14"/>
    <x v="2"/>
    <x v="183"/>
    <x v="15"/>
    <x v="68"/>
    <x v="0"/>
    <x v="2"/>
  </r>
  <r>
    <x v="15"/>
    <x v="3"/>
    <x v="0"/>
    <x v="0"/>
    <x v="19"/>
    <x v="0"/>
    <x v="2"/>
  </r>
  <r>
    <x v="15"/>
    <x v="3"/>
    <x v="2"/>
    <x v="1"/>
    <x v="19"/>
    <x v="0"/>
    <x v="2"/>
  </r>
  <r>
    <x v="15"/>
    <x v="3"/>
    <x v="2"/>
    <x v="1"/>
    <x v="1"/>
    <x v="0"/>
    <x v="2"/>
  </r>
  <r>
    <x v="15"/>
    <x v="3"/>
    <x v="2"/>
    <x v="1"/>
    <x v="6"/>
    <x v="0"/>
    <x v="2"/>
  </r>
  <r>
    <x v="15"/>
    <x v="3"/>
    <x v="184"/>
    <x v="1"/>
    <x v="23"/>
    <x v="0"/>
    <x v="2"/>
  </r>
  <r>
    <x v="15"/>
    <x v="3"/>
    <x v="176"/>
    <x v="7"/>
    <x v="19"/>
    <x v="0"/>
    <x v="2"/>
  </r>
  <r>
    <x v="15"/>
    <x v="3"/>
    <x v="0"/>
    <x v="0"/>
    <x v="19"/>
    <x v="0"/>
    <x v="2"/>
  </r>
  <r>
    <x v="15"/>
    <x v="3"/>
    <x v="185"/>
    <x v="1"/>
    <x v="69"/>
    <x v="0"/>
    <x v="2"/>
  </r>
  <r>
    <x v="15"/>
    <x v="3"/>
    <x v="186"/>
    <x v="4"/>
    <x v="18"/>
    <x v="0"/>
    <x v="2"/>
  </r>
  <r>
    <x v="15"/>
    <x v="3"/>
    <x v="155"/>
    <x v="0"/>
    <x v="6"/>
    <x v="0"/>
    <x v="2"/>
  </r>
  <r>
    <x v="15"/>
    <x v="3"/>
    <x v="1"/>
    <x v="0"/>
    <x v="19"/>
    <x v="0"/>
    <x v="2"/>
  </r>
  <r>
    <x v="15"/>
    <x v="3"/>
    <x v="180"/>
    <x v="1"/>
    <x v="70"/>
    <x v="0"/>
    <x v="2"/>
  </r>
  <r>
    <x v="15"/>
    <x v="3"/>
    <x v="8"/>
    <x v="5"/>
    <x v="10"/>
    <x v="0"/>
    <x v="2"/>
  </r>
  <r>
    <x v="15"/>
    <x v="3"/>
    <x v="2"/>
    <x v="1"/>
    <x v="15"/>
    <x v="0"/>
    <x v="2"/>
  </r>
  <r>
    <x v="15"/>
    <x v="3"/>
    <x v="187"/>
    <x v="2"/>
    <x v="71"/>
    <x v="0"/>
    <x v="2"/>
  </r>
  <r>
    <x v="15"/>
    <x v="3"/>
    <x v="2"/>
    <x v="1"/>
    <x v="9"/>
    <x v="0"/>
    <x v="2"/>
  </r>
  <r>
    <x v="15"/>
    <x v="3"/>
    <x v="176"/>
    <x v="7"/>
    <x v="19"/>
    <x v="0"/>
    <x v="2"/>
  </r>
  <r>
    <x v="15"/>
    <x v="3"/>
    <x v="188"/>
    <x v="4"/>
    <x v="72"/>
    <x v="0"/>
    <x v="2"/>
  </r>
  <r>
    <x v="15"/>
    <x v="3"/>
    <x v="189"/>
    <x v="7"/>
    <x v="32"/>
    <x v="0"/>
    <x v="2"/>
  </r>
  <r>
    <x v="15"/>
    <x v="3"/>
    <x v="190"/>
    <x v="6"/>
    <x v="73"/>
    <x v="0"/>
    <x v="2"/>
  </r>
  <r>
    <x v="15"/>
    <x v="3"/>
    <x v="191"/>
    <x v="1"/>
    <x v="22"/>
    <x v="0"/>
    <x v="2"/>
  </r>
  <r>
    <x v="15"/>
    <x v="3"/>
    <x v="192"/>
    <x v="13"/>
    <x v="72"/>
    <x v="0"/>
    <x v="2"/>
  </r>
  <r>
    <x v="15"/>
    <x v="3"/>
    <x v="193"/>
    <x v="13"/>
    <x v="73"/>
    <x v="0"/>
    <x v="2"/>
  </r>
  <r>
    <x v="15"/>
    <x v="3"/>
    <x v="194"/>
    <x v="4"/>
    <x v="74"/>
    <x v="0"/>
    <x v="2"/>
  </r>
  <r>
    <x v="15"/>
    <x v="3"/>
    <x v="8"/>
    <x v="5"/>
    <x v="9"/>
    <x v="0"/>
    <x v="2"/>
  </r>
  <r>
    <x v="15"/>
    <x v="3"/>
    <x v="2"/>
    <x v="1"/>
    <x v="18"/>
    <x v="0"/>
    <x v="2"/>
  </r>
  <r>
    <x v="15"/>
    <x v="3"/>
    <x v="8"/>
    <x v="5"/>
    <x v="9"/>
    <x v="0"/>
    <x v="2"/>
  </r>
  <r>
    <x v="15"/>
    <x v="3"/>
    <x v="2"/>
    <x v="1"/>
    <x v="19"/>
    <x v="0"/>
    <x v="2"/>
  </r>
  <r>
    <x v="15"/>
    <x v="3"/>
    <x v="8"/>
    <x v="5"/>
    <x v="9"/>
    <x v="0"/>
    <x v="2"/>
  </r>
  <r>
    <x v="15"/>
    <x v="3"/>
    <x v="2"/>
    <x v="1"/>
    <x v="1"/>
    <x v="0"/>
    <x v="2"/>
  </r>
  <r>
    <x v="15"/>
    <x v="3"/>
    <x v="2"/>
    <x v="1"/>
    <x v="1"/>
    <x v="0"/>
    <x v="2"/>
  </r>
  <r>
    <x v="15"/>
    <x v="3"/>
    <x v="2"/>
    <x v="1"/>
    <x v="1"/>
    <x v="0"/>
    <x v="2"/>
  </r>
  <r>
    <x v="15"/>
    <x v="3"/>
    <x v="195"/>
    <x v="6"/>
    <x v="47"/>
    <x v="0"/>
    <x v="2"/>
  </r>
  <r>
    <x v="15"/>
    <x v="3"/>
    <x v="196"/>
    <x v="0"/>
    <x v="40"/>
    <x v="0"/>
    <x v="2"/>
  </r>
  <r>
    <x v="15"/>
    <x v="3"/>
    <x v="2"/>
    <x v="1"/>
    <x v="3"/>
    <x v="0"/>
    <x v="2"/>
  </r>
  <r>
    <x v="15"/>
    <x v="3"/>
    <x v="31"/>
    <x v="0"/>
    <x v="6"/>
    <x v="0"/>
    <x v="2"/>
  </r>
  <r>
    <x v="15"/>
    <x v="3"/>
    <x v="2"/>
    <x v="1"/>
    <x v="6"/>
    <x v="0"/>
    <x v="2"/>
  </r>
  <r>
    <x v="15"/>
    <x v="3"/>
    <x v="197"/>
    <x v="7"/>
    <x v="0"/>
    <x v="0"/>
    <x v="2"/>
  </r>
  <r>
    <x v="15"/>
    <x v="3"/>
    <x v="8"/>
    <x v="5"/>
    <x v="9"/>
    <x v="0"/>
    <x v="2"/>
  </r>
  <r>
    <x v="15"/>
    <x v="3"/>
    <x v="2"/>
    <x v="1"/>
    <x v="19"/>
    <x v="0"/>
    <x v="2"/>
  </r>
  <r>
    <x v="15"/>
    <x v="3"/>
    <x v="8"/>
    <x v="5"/>
    <x v="9"/>
    <x v="0"/>
    <x v="2"/>
  </r>
  <r>
    <x v="15"/>
    <x v="3"/>
    <x v="198"/>
    <x v="16"/>
    <x v="9"/>
    <x v="0"/>
    <x v="2"/>
  </r>
  <r>
    <x v="15"/>
    <x v="3"/>
    <x v="199"/>
    <x v="1"/>
    <x v="37"/>
    <x v="0"/>
    <x v="2"/>
  </r>
  <r>
    <x v="15"/>
    <x v="3"/>
    <x v="199"/>
    <x v="1"/>
    <x v="33"/>
    <x v="0"/>
    <x v="2"/>
  </r>
  <r>
    <x v="15"/>
    <x v="3"/>
    <x v="176"/>
    <x v="7"/>
    <x v="0"/>
    <x v="0"/>
    <x v="2"/>
  </r>
  <r>
    <x v="15"/>
    <x v="3"/>
    <x v="46"/>
    <x v="6"/>
    <x v="10"/>
    <x v="0"/>
    <x v="2"/>
  </r>
  <r>
    <x v="16"/>
    <x v="4"/>
    <x v="200"/>
    <x v="1"/>
    <x v="57"/>
    <x v="0"/>
    <x v="2"/>
  </r>
  <r>
    <x v="16"/>
    <x v="4"/>
    <x v="201"/>
    <x v="1"/>
    <x v="5"/>
    <x v="0"/>
    <x v="2"/>
  </r>
  <r>
    <x v="16"/>
    <x v="4"/>
    <x v="2"/>
    <x v="1"/>
    <x v="1"/>
    <x v="0"/>
    <x v="2"/>
  </r>
  <r>
    <x v="16"/>
    <x v="4"/>
    <x v="73"/>
    <x v="9"/>
    <x v="33"/>
    <x v="0"/>
    <x v="2"/>
  </r>
  <r>
    <x v="16"/>
    <x v="4"/>
    <x v="149"/>
    <x v="0"/>
    <x v="4"/>
    <x v="0"/>
    <x v="2"/>
  </r>
  <r>
    <x v="16"/>
    <x v="4"/>
    <x v="2"/>
    <x v="1"/>
    <x v="17"/>
    <x v="0"/>
    <x v="2"/>
  </r>
  <r>
    <x v="16"/>
    <x v="4"/>
    <x v="8"/>
    <x v="5"/>
    <x v="9"/>
    <x v="0"/>
    <x v="2"/>
  </r>
  <r>
    <x v="16"/>
    <x v="4"/>
    <x v="202"/>
    <x v="4"/>
    <x v="75"/>
    <x v="0"/>
    <x v="2"/>
  </r>
  <r>
    <x v="16"/>
    <x v="4"/>
    <x v="176"/>
    <x v="7"/>
    <x v="19"/>
    <x v="0"/>
    <x v="2"/>
  </r>
  <r>
    <x v="16"/>
    <x v="4"/>
    <x v="2"/>
    <x v="1"/>
    <x v="6"/>
    <x v="0"/>
    <x v="2"/>
  </r>
  <r>
    <x v="16"/>
    <x v="4"/>
    <x v="101"/>
    <x v="13"/>
    <x v="8"/>
    <x v="0"/>
    <x v="2"/>
  </r>
  <r>
    <x v="16"/>
    <x v="4"/>
    <x v="46"/>
    <x v="6"/>
    <x v="29"/>
    <x v="0"/>
    <x v="2"/>
  </r>
  <r>
    <x v="16"/>
    <x v="4"/>
    <x v="2"/>
    <x v="1"/>
    <x v="2"/>
    <x v="0"/>
    <x v="2"/>
  </r>
  <r>
    <x v="16"/>
    <x v="4"/>
    <x v="2"/>
    <x v="1"/>
    <x v="1"/>
    <x v="0"/>
    <x v="2"/>
  </r>
  <r>
    <x v="16"/>
    <x v="4"/>
    <x v="31"/>
    <x v="0"/>
    <x v="0"/>
    <x v="0"/>
    <x v="2"/>
  </r>
  <r>
    <x v="16"/>
    <x v="4"/>
    <x v="203"/>
    <x v="7"/>
    <x v="0"/>
    <x v="0"/>
    <x v="2"/>
  </r>
  <r>
    <x v="16"/>
    <x v="4"/>
    <x v="169"/>
    <x v="7"/>
    <x v="19"/>
    <x v="0"/>
    <x v="2"/>
  </r>
  <r>
    <x v="16"/>
    <x v="4"/>
    <x v="204"/>
    <x v="1"/>
    <x v="59"/>
    <x v="0"/>
    <x v="2"/>
  </r>
  <r>
    <x v="16"/>
    <x v="4"/>
    <x v="2"/>
    <x v="1"/>
    <x v="15"/>
    <x v="0"/>
    <x v="2"/>
  </r>
  <r>
    <x v="16"/>
    <x v="4"/>
    <x v="2"/>
    <x v="1"/>
    <x v="19"/>
    <x v="0"/>
    <x v="2"/>
  </r>
  <r>
    <x v="16"/>
    <x v="4"/>
    <x v="201"/>
    <x v="1"/>
    <x v="17"/>
    <x v="0"/>
    <x v="2"/>
  </r>
  <r>
    <x v="16"/>
    <x v="4"/>
    <x v="101"/>
    <x v="13"/>
    <x v="47"/>
    <x v="0"/>
    <x v="2"/>
  </r>
  <r>
    <x v="16"/>
    <x v="4"/>
    <x v="2"/>
    <x v="1"/>
    <x v="9"/>
    <x v="0"/>
    <x v="2"/>
  </r>
  <r>
    <x v="16"/>
    <x v="4"/>
    <x v="163"/>
    <x v="0"/>
    <x v="0"/>
    <x v="0"/>
    <x v="2"/>
  </r>
  <r>
    <x v="16"/>
    <x v="4"/>
    <x v="163"/>
    <x v="0"/>
    <x v="19"/>
    <x v="0"/>
    <x v="2"/>
  </r>
  <r>
    <x v="16"/>
    <x v="4"/>
    <x v="2"/>
    <x v="1"/>
    <x v="17"/>
    <x v="0"/>
    <x v="2"/>
  </r>
  <r>
    <x v="16"/>
    <x v="4"/>
    <x v="8"/>
    <x v="5"/>
    <x v="10"/>
    <x v="0"/>
    <x v="2"/>
  </r>
  <r>
    <x v="16"/>
    <x v="4"/>
    <x v="205"/>
    <x v="6"/>
    <x v="47"/>
    <x v="0"/>
    <x v="2"/>
  </r>
  <r>
    <x v="16"/>
    <x v="4"/>
    <x v="0"/>
    <x v="0"/>
    <x v="47"/>
    <x v="0"/>
    <x v="2"/>
  </r>
  <r>
    <x v="16"/>
    <x v="4"/>
    <x v="205"/>
    <x v="6"/>
    <x v="47"/>
    <x v="0"/>
    <x v="2"/>
  </r>
  <r>
    <x v="16"/>
    <x v="4"/>
    <x v="206"/>
    <x v="1"/>
    <x v="76"/>
    <x v="0"/>
    <x v="2"/>
  </r>
  <r>
    <x v="16"/>
    <x v="4"/>
    <x v="31"/>
    <x v="0"/>
    <x v="19"/>
    <x v="0"/>
    <x v="2"/>
  </r>
  <r>
    <x v="16"/>
    <x v="4"/>
    <x v="2"/>
    <x v="1"/>
    <x v="1"/>
    <x v="0"/>
    <x v="2"/>
  </r>
  <r>
    <x v="16"/>
    <x v="4"/>
    <x v="201"/>
    <x v="1"/>
    <x v="76"/>
    <x v="0"/>
    <x v="2"/>
  </r>
  <r>
    <x v="16"/>
    <x v="4"/>
    <x v="2"/>
    <x v="1"/>
    <x v="47"/>
    <x v="0"/>
    <x v="2"/>
  </r>
  <r>
    <x v="16"/>
    <x v="4"/>
    <x v="101"/>
    <x v="13"/>
    <x v="19"/>
    <x v="0"/>
    <x v="2"/>
  </r>
  <r>
    <x v="16"/>
    <x v="4"/>
    <x v="2"/>
    <x v="1"/>
    <x v="1"/>
    <x v="0"/>
    <x v="2"/>
  </r>
  <r>
    <x v="17"/>
    <x v="5"/>
    <x v="2"/>
    <x v="1"/>
    <x v="1"/>
    <x v="0"/>
    <x v="2"/>
  </r>
  <r>
    <x v="17"/>
    <x v="5"/>
    <x v="207"/>
    <x v="1"/>
    <x v="1"/>
    <x v="0"/>
    <x v="2"/>
  </r>
  <r>
    <x v="17"/>
    <x v="5"/>
    <x v="208"/>
    <x v="7"/>
    <x v="19"/>
    <x v="0"/>
    <x v="2"/>
  </r>
  <r>
    <x v="17"/>
    <x v="5"/>
    <x v="8"/>
    <x v="5"/>
    <x v="9"/>
    <x v="0"/>
    <x v="2"/>
  </r>
  <r>
    <x v="17"/>
    <x v="5"/>
    <x v="0"/>
    <x v="0"/>
    <x v="0"/>
    <x v="0"/>
    <x v="2"/>
  </r>
  <r>
    <x v="17"/>
    <x v="5"/>
    <x v="2"/>
    <x v="1"/>
    <x v="19"/>
    <x v="0"/>
    <x v="2"/>
  </r>
  <r>
    <x v="17"/>
    <x v="5"/>
    <x v="2"/>
    <x v="1"/>
    <x v="19"/>
    <x v="0"/>
    <x v="2"/>
  </r>
  <r>
    <x v="17"/>
    <x v="5"/>
    <x v="2"/>
    <x v="1"/>
    <x v="7"/>
    <x v="0"/>
    <x v="2"/>
  </r>
  <r>
    <x v="17"/>
    <x v="5"/>
    <x v="209"/>
    <x v="6"/>
    <x v="47"/>
    <x v="0"/>
    <x v="2"/>
  </r>
  <r>
    <x v="17"/>
    <x v="5"/>
    <x v="93"/>
    <x v="1"/>
    <x v="26"/>
    <x v="0"/>
    <x v="2"/>
  </r>
  <r>
    <x v="17"/>
    <x v="5"/>
    <x v="210"/>
    <x v="4"/>
    <x v="15"/>
    <x v="0"/>
    <x v="2"/>
  </r>
  <r>
    <x v="17"/>
    <x v="5"/>
    <x v="8"/>
    <x v="5"/>
    <x v="9"/>
    <x v="0"/>
    <x v="2"/>
  </r>
  <r>
    <x v="17"/>
    <x v="5"/>
    <x v="211"/>
    <x v="13"/>
    <x v="8"/>
    <x v="0"/>
    <x v="2"/>
  </r>
  <r>
    <x v="17"/>
    <x v="5"/>
    <x v="31"/>
    <x v="0"/>
    <x v="19"/>
    <x v="0"/>
    <x v="2"/>
  </r>
  <r>
    <x v="17"/>
    <x v="5"/>
    <x v="73"/>
    <x v="9"/>
    <x v="2"/>
    <x v="0"/>
    <x v="2"/>
  </r>
  <r>
    <x v="17"/>
    <x v="5"/>
    <x v="93"/>
    <x v="1"/>
    <x v="15"/>
    <x v="0"/>
    <x v="2"/>
  </r>
  <r>
    <x v="17"/>
    <x v="5"/>
    <x v="8"/>
    <x v="5"/>
    <x v="9"/>
    <x v="0"/>
    <x v="2"/>
  </r>
  <r>
    <x v="17"/>
    <x v="5"/>
    <x v="8"/>
    <x v="5"/>
    <x v="9"/>
    <x v="0"/>
    <x v="2"/>
  </r>
  <r>
    <x v="17"/>
    <x v="5"/>
    <x v="2"/>
    <x v="1"/>
    <x v="77"/>
    <x v="0"/>
    <x v="2"/>
  </r>
  <r>
    <x v="17"/>
    <x v="5"/>
    <x v="26"/>
    <x v="11"/>
    <x v="20"/>
    <x v="0"/>
    <x v="2"/>
  </r>
  <r>
    <x v="17"/>
    <x v="5"/>
    <x v="176"/>
    <x v="7"/>
    <x v="19"/>
    <x v="0"/>
    <x v="2"/>
  </r>
  <r>
    <x v="17"/>
    <x v="5"/>
    <x v="212"/>
    <x v="4"/>
    <x v="8"/>
    <x v="0"/>
    <x v="2"/>
  </r>
  <r>
    <x v="17"/>
    <x v="5"/>
    <x v="8"/>
    <x v="5"/>
    <x v="2"/>
    <x v="0"/>
    <x v="2"/>
  </r>
  <r>
    <x v="17"/>
    <x v="5"/>
    <x v="31"/>
    <x v="0"/>
    <x v="19"/>
    <x v="0"/>
    <x v="2"/>
  </r>
  <r>
    <x v="17"/>
    <x v="5"/>
    <x v="213"/>
    <x v="1"/>
    <x v="9"/>
    <x v="0"/>
    <x v="2"/>
  </r>
  <r>
    <x v="17"/>
    <x v="5"/>
    <x v="214"/>
    <x v="1"/>
    <x v="6"/>
    <x v="0"/>
    <x v="2"/>
  </r>
  <r>
    <x v="17"/>
    <x v="5"/>
    <x v="215"/>
    <x v="1"/>
    <x v="29"/>
    <x v="0"/>
    <x v="2"/>
  </r>
  <r>
    <x v="17"/>
    <x v="5"/>
    <x v="216"/>
    <x v="1"/>
    <x v="15"/>
    <x v="0"/>
    <x v="2"/>
  </r>
  <r>
    <x v="17"/>
    <x v="5"/>
    <x v="217"/>
    <x v="1"/>
    <x v="28"/>
    <x v="0"/>
    <x v="2"/>
  </r>
  <r>
    <x v="17"/>
    <x v="5"/>
    <x v="218"/>
    <x v="8"/>
    <x v="15"/>
    <x v="0"/>
    <x v="2"/>
  </r>
  <r>
    <x v="17"/>
    <x v="5"/>
    <x v="31"/>
    <x v="0"/>
    <x v="18"/>
    <x v="0"/>
    <x v="2"/>
  </r>
  <r>
    <x v="17"/>
    <x v="5"/>
    <x v="219"/>
    <x v="2"/>
    <x v="15"/>
    <x v="0"/>
    <x v="2"/>
  </r>
  <r>
    <x v="17"/>
    <x v="5"/>
    <x v="8"/>
    <x v="5"/>
    <x v="9"/>
    <x v="0"/>
    <x v="2"/>
  </r>
  <r>
    <x v="17"/>
    <x v="5"/>
    <x v="2"/>
    <x v="1"/>
    <x v="28"/>
    <x v="0"/>
    <x v="2"/>
  </r>
  <r>
    <x v="17"/>
    <x v="5"/>
    <x v="220"/>
    <x v="1"/>
    <x v="46"/>
    <x v="0"/>
    <x v="2"/>
  </r>
  <r>
    <x v="18"/>
    <x v="0"/>
    <x v="2"/>
    <x v="1"/>
    <x v="10"/>
    <x v="1"/>
    <x v="3"/>
  </r>
  <r>
    <x v="18"/>
    <x v="0"/>
    <x v="176"/>
    <x v="7"/>
    <x v="1"/>
    <x v="1"/>
    <x v="3"/>
  </r>
  <r>
    <x v="19"/>
    <x v="6"/>
    <x v="221"/>
    <x v="17"/>
    <x v="78"/>
    <x v="2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04">
  <r>
    <x v="0"/>
    <x v="0"/>
    <x v="0"/>
    <x v="0"/>
    <x v="0"/>
    <x v="0"/>
    <x v="0"/>
  </r>
  <r>
    <x v="0"/>
    <x v="0"/>
    <x v="1"/>
    <x v="0"/>
    <x v="1"/>
    <x v="0"/>
    <x v="0"/>
  </r>
  <r>
    <x v="0"/>
    <x v="0"/>
    <x v="0"/>
    <x v="0"/>
    <x v="1"/>
    <x v="0"/>
    <x v="0"/>
  </r>
  <r>
    <x v="0"/>
    <x v="0"/>
    <x v="2"/>
    <x v="1"/>
    <x v="2"/>
    <x v="0"/>
    <x v="0"/>
  </r>
  <r>
    <x v="0"/>
    <x v="0"/>
    <x v="2"/>
    <x v="1"/>
    <x v="3"/>
    <x v="0"/>
    <x v="0"/>
  </r>
  <r>
    <x v="0"/>
    <x v="0"/>
    <x v="3"/>
    <x v="0"/>
    <x v="4"/>
    <x v="0"/>
    <x v="0"/>
  </r>
  <r>
    <x v="0"/>
    <x v="0"/>
    <x v="4"/>
    <x v="2"/>
    <x v="5"/>
    <x v="0"/>
    <x v="0"/>
  </r>
  <r>
    <x v="0"/>
    <x v="0"/>
    <x v="2"/>
    <x v="1"/>
    <x v="6"/>
    <x v="0"/>
    <x v="0"/>
  </r>
  <r>
    <x v="0"/>
    <x v="0"/>
    <x v="5"/>
    <x v="3"/>
    <x v="7"/>
    <x v="0"/>
    <x v="0"/>
  </r>
  <r>
    <x v="0"/>
    <x v="0"/>
    <x v="6"/>
    <x v="2"/>
    <x v="7"/>
    <x v="0"/>
    <x v="0"/>
  </r>
  <r>
    <x v="0"/>
    <x v="0"/>
    <x v="7"/>
    <x v="4"/>
    <x v="8"/>
    <x v="0"/>
    <x v="0"/>
  </r>
  <r>
    <x v="0"/>
    <x v="0"/>
    <x v="8"/>
    <x v="5"/>
    <x v="9"/>
    <x v="0"/>
    <x v="0"/>
  </r>
  <r>
    <x v="0"/>
    <x v="0"/>
    <x v="9"/>
    <x v="6"/>
    <x v="10"/>
    <x v="0"/>
    <x v="0"/>
  </r>
  <r>
    <x v="0"/>
    <x v="0"/>
    <x v="10"/>
    <x v="1"/>
    <x v="7"/>
    <x v="0"/>
    <x v="0"/>
  </r>
  <r>
    <x v="0"/>
    <x v="0"/>
    <x v="11"/>
    <x v="0"/>
    <x v="11"/>
    <x v="0"/>
    <x v="0"/>
  </r>
  <r>
    <x v="0"/>
    <x v="0"/>
    <x v="9"/>
    <x v="6"/>
    <x v="10"/>
    <x v="0"/>
    <x v="0"/>
  </r>
  <r>
    <x v="0"/>
    <x v="0"/>
    <x v="12"/>
    <x v="7"/>
    <x v="1"/>
    <x v="0"/>
    <x v="0"/>
  </r>
  <r>
    <x v="0"/>
    <x v="0"/>
    <x v="2"/>
    <x v="1"/>
    <x v="9"/>
    <x v="0"/>
    <x v="0"/>
  </r>
  <r>
    <x v="0"/>
    <x v="0"/>
    <x v="13"/>
    <x v="0"/>
    <x v="12"/>
    <x v="0"/>
    <x v="0"/>
  </r>
  <r>
    <x v="0"/>
    <x v="0"/>
    <x v="14"/>
    <x v="2"/>
    <x v="13"/>
    <x v="0"/>
    <x v="0"/>
  </r>
  <r>
    <x v="0"/>
    <x v="0"/>
    <x v="2"/>
    <x v="1"/>
    <x v="1"/>
    <x v="0"/>
    <x v="0"/>
  </r>
  <r>
    <x v="0"/>
    <x v="0"/>
    <x v="2"/>
    <x v="1"/>
    <x v="1"/>
    <x v="0"/>
    <x v="0"/>
  </r>
  <r>
    <x v="0"/>
    <x v="0"/>
    <x v="15"/>
    <x v="7"/>
    <x v="2"/>
    <x v="0"/>
    <x v="0"/>
  </r>
  <r>
    <x v="0"/>
    <x v="0"/>
    <x v="16"/>
    <x v="0"/>
    <x v="14"/>
    <x v="0"/>
    <x v="0"/>
  </r>
  <r>
    <x v="0"/>
    <x v="0"/>
    <x v="17"/>
    <x v="4"/>
    <x v="9"/>
    <x v="0"/>
    <x v="0"/>
  </r>
  <r>
    <x v="0"/>
    <x v="0"/>
    <x v="2"/>
    <x v="1"/>
    <x v="6"/>
    <x v="0"/>
    <x v="0"/>
  </r>
  <r>
    <x v="0"/>
    <x v="0"/>
    <x v="0"/>
    <x v="0"/>
    <x v="1"/>
    <x v="0"/>
    <x v="0"/>
  </r>
  <r>
    <x v="0"/>
    <x v="0"/>
    <x v="18"/>
    <x v="8"/>
    <x v="15"/>
    <x v="0"/>
    <x v="0"/>
  </r>
  <r>
    <x v="0"/>
    <x v="0"/>
    <x v="19"/>
    <x v="4"/>
    <x v="8"/>
    <x v="0"/>
    <x v="0"/>
  </r>
  <r>
    <x v="0"/>
    <x v="0"/>
    <x v="2"/>
    <x v="1"/>
    <x v="2"/>
    <x v="0"/>
    <x v="0"/>
  </r>
  <r>
    <x v="0"/>
    <x v="0"/>
    <x v="8"/>
    <x v="5"/>
    <x v="9"/>
    <x v="0"/>
    <x v="0"/>
  </r>
  <r>
    <x v="0"/>
    <x v="0"/>
    <x v="20"/>
    <x v="0"/>
    <x v="16"/>
    <x v="0"/>
    <x v="0"/>
  </r>
  <r>
    <x v="0"/>
    <x v="0"/>
    <x v="2"/>
    <x v="1"/>
    <x v="17"/>
    <x v="0"/>
    <x v="0"/>
  </r>
  <r>
    <x v="0"/>
    <x v="0"/>
    <x v="2"/>
    <x v="1"/>
    <x v="1"/>
    <x v="0"/>
    <x v="0"/>
  </r>
  <r>
    <x v="0"/>
    <x v="0"/>
    <x v="21"/>
    <x v="4"/>
    <x v="7"/>
    <x v="0"/>
    <x v="0"/>
  </r>
  <r>
    <x v="0"/>
    <x v="0"/>
    <x v="2"/>
    <x v="1"/>
    <x v="18"/>
    <x v="0"/>
    <x v="0"/>
  </r>
  <r>
    <x v="0"/>
    <x v="0"/>
    <x v="22"/>
    <x v="9"/>
    <x v="6"/>
    <x v="0"/>
    <x v="0"/>
  </r>
  <r>
    <x v="0"/>
    <x v="0"/>
    <x v="2"/>
    <x v="1"/>
    <x v="1"/>
    <x v="0"/>
    <x v="0"/>
  </r>
  <r>
    <x v="0"/>
    <x v="0"/>
    <x v="2"/>
    <x v="1"/>
    <x v="6"/>
    <x v="0"/>
    <x v="0"/>
  </r>
  <r>
    <x v="1"/>
    <x v="1"/>
    <x v="2"/>
    <x v="1"/>
    <x v="19"/>
    <x v="0"/>
    <x v="0"/>
  </r>
  <r>
    <x v="1"/>
    <x v="1"/>
    <x v="23"/>
    <x v="4"/>
    <x v="0"/>
    <x v="0"/>
    <x v="0"/>
  </r>
  <r>
    <x v="1"/>
    <x v="1"/>
    <x v="24"/>
    <x v="10"/>
    <x v="9"/>
    <x v="0"/>
    <x v="0"/>
  </r>
  <r>
    <x v="1"/>
    <x v="1"/>
    <x v="24"/>
    <x v="10"/>
    <x v="9"/>
    <x v="0"/>
    <x v="0"/>
  </r>
  <r>
    <x v="1"/>
    <x v="1"/>
    <x v="8"/>
    <x v="5"/>
    <x v="9"/>
    <x v="0"/>
    <x v="0"/>
  </r>
  <r>
    <x v="1"/>
    <x v="1"/>
    <x v="25"/>
    <x v="1"/>
    <x v="18"/>
    <x v="0"/>
    <x v="0"/>
  </r>
  <r>
    <x v="1"/>
    <x v="1"/>
    <x v="26"/>
    <x v="11"/>
    <x v="15"/>
    <x v="0"/>
    <x v="0"/>
  </r>
  <r>
    <x v="1"/>
    <x v="1"/>
    <x v="27"/>
    <x v="0"/>
    <x v="20"/>
    <x v="0"/>
    <x v="0"/>
  </r>
  <r>
    <x v="1"/>
    <x v="1"/>
    <x v="8"/>
    <x v="5"/>
    <x v="9"/>
    <x v="0"/>
    <x v="0"/>
  </r>
  <r>
    <x v="1"/>
    <x v="1"/>
    <x v="2"/>
    <x v="1"/>
    <x v="1"/>
    <x v="0"/>
    <x v="0"/>
  </r>
  <r>
    <x v="1"/>
    <x v="1"/>
    <x v="28"/>
    <x v="12"/>
    <x v="10"/>
    <x v="0"/>
    <x v="0"/>
  </r>
  <r>
    <x v="1"/>
    <x v="1"/>
    <x v="2"/>
    <x v="1"/>
    <x v="1"/>
    <x v="0"/>
    <x v="0"/>
  </r>
  <r>
    <x v="1"/>
    <x v="1"/>
    <x v="0"/>
    <x v="0"/>
    <x v="1"/>
    <x v="0"/>
    <x v="0"/>
  </r>
  <r>
    <x v="1"/>
    <x v="1"/>
    <x v="8"/>
    <x v="5"/>
    <x v="9"/>
    <x v="0"/>
    <x v="0"/>
  </r>
  <r>
    <x v="1"/>
    <x v="1"/>
    <x v="9"/>
    <x v="6"/>
    <x v="10"/>
    <x v="0"/>
    <x v="0"/>
  </r>
  <r>
    <x v="1"/>
    <x v="1"/>
    <x v="2"/>
    <x v="1"/>
    <x v="19"/>
    <x v="0"/>
    <x v="0"/>
  </r>
  <r>
    <x v="1"/>
    <x v="1"/>
    <x v="7"/>
    <x v="4"/>
    <x v="4"/>
    <x v="0"/>
    <x v="0"/>
  </r>
  <r>
    <x v="1"/>
    <x v="1"/>
    <x v="2"/>
    <x v="1"/>
    <x v="9"/>
    <x v="0"/>
    <x v="0"/>
  </r>
  <r>
    <x v="1"/>
    <x v="1"/>
    <x v="9"/>
    <x v="6"/>
    <x v="8"/>
    <x v="0"/>
    <x v="0"/>
  </r>
  <r>
    <x v="1"/>
    <x v="1"/>
    <x v="25"/>
    <x v="1"/>
    <x v="9"/>
    <x v="0"/>
    <x v="0"/>
  </r>
  <r>
    <x v="1"/>
    <x v="1"/>
    <x v="8"/>
    <x v="5"/>
    <x v="9"/>
    <x v="0"/>
    <x v="0"/>
  </r>
  <r>
    <x v="2"/>
    <x v="2"/>
    <x v="29"/>
    <x v="3"/>
    <x v="2"/>
    <x v="0"/>
    <x v="0"/>
  </r>
  <r>
    <x v="2"/>
    <x v="2"/>
    <x v="8"/>
    <x v="5"/>
    <x v="9"/>
    <x v="0"/>
    <x v="0"/>
  </r>
  <r>
    <x v="2"/>
    <x v="2"/>
    <x v="2"/>
    <x v="1"/>
    <x v="1"/>
    <x v="0"/>
    <x v="0"/>
  </r>
  <r>
    <x v="2"/>
    <x v="2"/>
    <x v="8"/>
    <x v="5"/>
    <x v="9"/>
    <x v="0"/>
    <x v="0"/>
  </r>
  <r>
    <x v="2"/>
    <x v="2"/>
    <x v="30"/>
    <x v="1"/>
    <x v="21"/>
    <x v="0"/>
    <x v="0"/>
  </r>
  <r>
    <x v="2"/>
    <x v="2"/>
    <x v="2"/>
    <x v="1"/>
    <x v="1"/>
    <x v="0"/>
    <x v="0"/>
  </r>
  <r>
    <x v="2"/>
    <x v="2"/>
    <x v="31"/>
    <x v="0"/>
    <x v="0"/>
    <x v="0"/>
    <x v="0"/>
  </r>
  <r>
    <x v="2"/>
    <x v="2"/>
    <x v="2"/>
    <x v="1"/>
    <x v="22"/>
    <x v="0"/>
    <x v="0"/>
  </r>
  <r>
    <x v="2"/>
    <x v="2"/>
    <x v="8"/>
    <x v="5"/>
    <x v="18"/>
    <x v="0"/>
    <x v="0"/>
  </r>
  <r>
    <x v="2"/>
    <x v="2"/>
    <x v="2"/>
    <x v="1"/>
    <x v="1"/>
    <x v="0"/>
    <x v="0"/>
  </r>
  <r>
    <x v="2"/>
    <x v="2"/>
    <x v="32"/>
    <x v="12"/>
    <x v="10"/>
    <x v="0"/>
    <x v="0"/>
  </r>
  <r>
    <x v="2"/>
    <x v="2"/>
    <x v="33"/>
    <x v="4"/>
    <x v="15"/>
    <x v="0"/>
    <x v="0"/>
  </r>
  <r>
    <x v="2"/>
    <x v="2"/>
    <x v="2"/>
    <x v="1"/>
    <x v="6"/>
    <x v="0"/>
    <x v="0"/>
  </r>
  <r>
    <x v="2"/>
    <x v="2"/>
    <x v="2"/>
    <x v="1"/>
    <x v="1"/>
    <x v="0"/>
    <x v="0"/>
  </r>
  <r>
    <x v="2"/>
    <x v="2"/>
    <x v="8"/>
    <x v="5"/>
    <x v="9"/>
    <x v="0"/>
    <x v="0"/>
  </r>
  <r>
    <x v="2"/>
    <x v="2"/>
    <x v="0"/>
    <x v="0"/>
    <x v="19"/>
    <x v="0"/>
    <x v="0"/>
  </r>
  <r>
    <x v="2"/>
    <x v="2"/>
    <x v="2"/>
    <x v="1"/>
    <x v="1"/>
    <x v="0"/>
    <x v="0"/>
  </r>
  <r>
    <x v="3"/>
    <x v="3"/>
    <x v="34"/>
    <x v="0"/>
    <x v="4"/>
    <x v="0"/>
    <x v="0"/>
  </r>
  <r>
    <x v="3"/>
    <x v="3"/>
    <x v="35"/>
    <x v="1"/>
    <x v="23"/>
    <x v="0"/>
    <x v="0"/>
  </r>
  <r>
    <x v="3"/>
    <x v="3"/>
    <x v="0"/>
    <x v="0"/>
    <x v="19"/>
    <x v="0"/>
    <x v="0"/>
  </r>
  <r>
    <x v="3"/>
    <x v="3"/>
    <x v="2"/>
    <x v="1"/>
    <x v="18"/>
    <x v="0"/>
    <x v="0"/>
  </r>
  <r>
    <x v="3"/>
    <x v="3"/>
    <x v="36"/>
    <x v="8"/>
    <x v="1"/>
    <x v="0"/>
    <x v="0"/>
  </r>
  <r>
    <x v="3"/>
    <x v="3"/>
    <x v="37"/>
    <x v="6"/>
    <x v="23"/>
    <x v="0"/>
    <x v="0"/>
  </r>
  <r>
    <x v="3"/>
    <x v="3"/>
    <x v="2"/>
    <x v="1"/>
    <x v="1"/>
    <x v="0"/>
    <x v="0"/>
  </r>
  <r>
    <x v="3"/>
    <x v="3"/>
    <x v="0"/>
    <x v="0"/>
    <x v="1"/>
    <x v="0"/>
    <x v="0"/>
  </r>
  <r>
    <x v="3"/>
    <x v="3"/>
    <x v="38"/>
    <x v="10"/>
    <x v="24"/>
    <x v="0"/>
    <x v="0"/>
  </r>
  <r>
    <x v="3"/>
    <x v="3"/>
    <x v="39"/>
    <x v="4"/>
    <x v="25"/>
    <x v="0"/>
    <x v="0"/>
  </r>
  <r>
    <x v="3"/>
    <x v="3"/>
    <x v="40"/>
    <x v="1"/>
    <x v="26"/>
    <x v="0"/>
    <x v="0"/>
  </r>
  <r>
    <x v="3"/>
    <x v="3"/>
    <x v="41"/>
    <x v="13"/>
    <x v="8"/>
    <x v="0"/>
    <x v="0"/>
  </r>
  <r>
    <x v="3"/>
    <x v="3"/>
    <x v="42"/>
    <x v="0"/>
    <x v="15"/>
    <x v="0"/>
    <x v="0"/>
  </r>
  <r>
    <x v="3"/>
    <x v="3"/>
    <x v="2"/>
    <x v="1"/>
    <x v="8"/>
    <x v="0"/>
    <x v="0"/>
  </r>
  <r>
    <x v="3"/>
    <x v="3"/>
    <x v="2"/>
    <x v="1"/>
    <x v="1"/>
    <x v="0"/>
    <x v="0"/>
  </r>
  <r>
    <x v="3"/>
    <x v="3"/>
    <x v="2"/>
    <x v="1"/>
    <x v="9"/>
    <x v="0"/>
    <x v="0"/>
  </r>
  <r>
    <x v="3"/>
    <x v="3"/>
    <x v="8"/>
    <x v="5"/>
    <x v="9"/>
    <x v="0"/>
    <x v="0"/>
  </r>
  <r>
    <x v="3"/>
    <x v="3"/>
    <x v="43"/>
    <x v="0"/>
    <x v="27"/>
    <x v="0"/>
    <x v="0"/>
  </r>
  <r>
    <x v="3"/>
    <x v="3"/>
    <x v="44"/>
    <x v="4"/>
    <x v="28"/>
    <x v="0"/>
    <x v="0"/>
  </r>
  <r>
    <x v="3"/>
    <x v="3"/>
    <x v="2"/>
    <x v="1"/>
    <x v="1"/>
    <x v="0"/>
    <x v="0"/>
  </r>
  <r>
    <x v="3"/>
    <x v="3"/>
    <x v="31"/>
    <x v="0"/>
    <x v="19"/>
    <x v="0"/>
    <x v="0"/>
  </r>
  <r>
    <x v="3"/>
    <x v="3"/>
    <x v="2"/>
    <x v="1"/>
    <x v="15"/>
    <x v="0"/>
    <x v="0"/>
  </r>
  <r>
    <x v="3"/>
    <x v="3"/>
    <x v="44"/>
    <x v="4"/>
    <x v="8"/>
    <x v="0"/>
    <x v="0"/>
  </r>
  <r>
    <x v="3"/>
    <x v="3"/>
    <x v="45"/>
    <x v="4"/>
    <x v="9"/>
    <x v="0"/>
    <x v="0"/>
  </r>
  <r>
    <x v="4"/>
    <x v="4"/>
    <x v="46"/>
    <x v="6"/>
    <x v="10"/>
    <x v="0"/>
    <x v="0"/>
  </r>
  <r>
    <x v="4"/>
    <x v="4"/>
    <x v="47"/>
    <x v="4"/>
    <x v="9"/>
    <x v="0"/>
    <x v="0"/>
  </r>
  <r>
    <x v="4"/>
    <x v="4"/>
    <x v="8"/>
    <x v="5"/>
    <x v="9"/>
    <x v="0"/>
    <x v="0"/>
  </r>
  <r>
    <x v="4"/>
    <x v="4"/>
    <x v="8"/>
    <x v="5"/>
    <x v="9"/>
    <x v="0"/>
    <x v="0"/>
  </r>
  <r>
    <x v="4"/>
    <x v="4"/>
    <x v="2"/>
    <x v="1"/>
    <x v="29"/>
    <x v="0"/>
    <x v="0"/>
  </r>
  <r>
    <x v="4"/>
    <x v="4"/>
    <x v="48"/>
    <x v="6"/>
    <x v="9"/>
    <x v="0"/>
    <x v="0"/>
  </r>
  <r>
    <x v="4"/>
    <x v="4"/>
    <x v="31"/>
    <x v="0"/>
    <x v="0"/>
    <x v="0"/>
    <x v="0"/>
  </r>
  <r>
    <x v="4"/>
    <x v="4"/>
    <x v="2"/>
    <x v="1"/>
    <x v="2"/>
    <x v="0"/>
    <x v="0"/>
  </r>
  <r>
    <x v="4"/>
    <x v="4"/>
    <x v="49"/>
    <x v="4"/>
    <x v="30"/>
    <x v="0"/>
    <x v="0"/>
  </r>
  <r>
    <x v="4"/>
    <x v="4"/>
    <x v="50"/>
    <x v="4"/>
    <x v="31"/>
    <x v="0"/>
    <x v="0"/>
  </r>
  <r>
    <x v="4"/>
    <x v="4"/>
    <x v="51"/>
    <x v="9"/>
    <x v="18"/>
    <x v="0"/>
    <x v="0"/>
  </r>
  <r>
    <x v="4"/>
    <x v="4"/>
    <x v="52"/>
    <x v="1"/>
    <x v="8"/>
    <x v="0"/>
    <x v="0"/>
  </r>
  <r>
    <x v="4"/>
    <x v="4"/>
    <x v="53"/>
    <x v="1"/>
    <x v="15"/>
    <x v="0"/>
    <x v="0"/>
  </r>
  <r>
    <x v="4"/>
    <x v="4"/>
    <x v="2"/>
    <x v="1"/>
    <x v="1"/>
    <x v="0"/>
    <x v="0"/>
  </r>
  <r>
    <x v="4"/>
    <x v="4"/>
    <x v="54"/>
    <x v="4"/>
    <x v="15"/>
    <x v="0"/>
    <x v="0"/>
  </r>
  <r>
    <x v="4"/>
    <x v="4"/>
    <x v="55"/>
    <x v="1"/>
    <x v="32"/>
    <x v="0"/>
    <x v="0"/>
  </r>
  <r>
    <x v="4"/>
    <x v="4"/>
    <x v="2"/>
    <x v="1"/>
    <x v="1"/>
    <x v="0"/>
    <x v="0"/>
  </r>
  <r>
    <x v="4"/>
    <x v="4"/>
    <x v="44"/>
    <x v="4"/>
    <x v="28"/>
    <x v="0"/>
    <x v="0"/>
  </r>
  <r>
    <x v="4"/>
    <x v="4"/>
    <x v="2"/>
    <x v="1"/>
    <x v="1"/>
    <x v="0"/>
    <x v="0"/>
  </r>
  <r>
    <x v="4"/>
    <x v="4"/>
    <x v="2"/>
    <x v="1"/>
    <x v="6"/>
    <x v="0"/>
    <x v="0"/>
  </r>
  <r>
    <x v="4"/>
    <x v="4"/>
    <x v="2"/>
    <x v="1"/>
    <x v="3"/>
    <x v="0"/>
    <x v="0"/>
  </r>
  <r>
    <x v="4"/>
    <x v="4"/>
    <x v="56"/>
    <x v="0"/>
    <x v="1"/>
    <x v="0"/>
    <x v="0"/>
  </r>
  <r>
    <x v="4"/>
    <x v="4"/>
    <x v="57"/>
    <x v="4"/>
    <x v="33"/>
    <x v="0"/>
    <x v="0"/>
  </r>
  <r>
    <x v="4"/>
    <x v="4"/>
    <x v="58"/>
    <x v="1"/>
    <x v="1"/>
    <x v="0"/>
    <x v="0"/>
  </r>
  <r>
    <x v="4"/>
    <x v="4"/>
    <x v="59"/>
    <x v="1"/>
    <x v="2"/>
    <x v="0"/>
    <x v="0"/>
  </r>
  <r>
    <x v="4"/>
    <x v="4"/>
    <x v="2"/>
    <x v="1"/>
    <x v="15"/>
    <x v="0"/>
    <x v="0"/>
  </r>
  <r>
    <x v="4"/>
    <x v="4"/>
    <x v="60"/>
    <x v="1"/>
    <x v="34"/>
    <x v="0"/>
    <x v="0"/>
  </r>
  <r>
    <x v="4"/>
    <x v="4"/>
    <x v="61"/>
    <x v="1"/>
    <x v="35"/>
    <x v="0"/>
    <x v="0"/>
  </r>
  <r>
    <x v="4"/>
    <x v="4"/>
    <x v="35"/>
    <x v="1"/>
    <x v="36"/>
    <x v="0"/>
    <x v="0"/>
  </r>
  <r>
    <x v="4"/>
    <x v="4"/>
    <x v="62"/>
    <x v="5"/>
    <x v="3"/>
    <x v="0"/>
    <x v="0"/>
  </r>
  <r>
    <x v="4"/>
    <x v="4"/>
    <x v="2"/>
    <x v="1"/>
    <x v="17"/>
    <x v="0"/>
    <x v="0"/>
  </r>
  <r>
    <x v="4"/>
    <x v="4"/>
    <x v="63"/>
    <x v="13"/>
    <x v="8"/>
    <x v="0"/>
    <x v="0"/>
  </r>
  <r>
    <x v="4"/>
    <x v="4"/>
    <x v="64"/>
    <x v="4"/>
    <x v="26"/>
    <x v="0"/>
    <x v="0"/>
  </r>
  <r>
    <x v="4"/>
    <x v="4"/>
    <x v="2"/>
    <x v="1"/>
    <x v="1"/>
    <x v="0"/>
    <x v="0"/>
  </r>
  <r>
    <x v="4"/>
    <x v="4"/>
    <x v="8"/>
    <x v="5"/>
    <x v="9"/>
    <x v="0"/>
    <x v="0"/>
  </r>
  <r>
    <x v="4"/>
    <x v="4"/>
    <x v="2"/>
    <x v="1"/>
    <x v="6"/>
    <x v="0"/>
    <x v="0"/>
  </r>
  <r>
    <x v="5"/>
    <x v="5"/>
    <x v="65"/>
    <x v="1"/>
    <x v="26"/>
    <x v="0"/>
    <x v="0"/>
  </r>
  <r>
    <x v="5"/>
    <x v="5"/>
    <x v="66"/>
    <x v="1"/>
    <x v="19"/>
    <x v="0"/>
    <x v="0"/>
  </r>
  <r>
    <x v="5"/>
    <x v="5"/>
    <x v="67"/>
    <x v="2"/>
    <x v="29"/>
    <x v="0"/>
    <x v="0"/>
  </r>
  <r>
    <x v="5"/>
    <x v="5"/>
    <x v="68"/>
    <x v="1"/>
    <x v="0"/>
    <x v="0"/>
    <x v="0"/>
  </r>
  <r>
    <x v="5"/>
    <x v="5"/>
    <x v="66"/>
    <x v="1"/>
    <x v="1"/>
    <x v="0"/>
    <x v="0"/>
  </r>
  <r>
    <x v="5"/>
    <x v="5"/>
    <x v="69"/>
    <x v="4"/>
    <x v="8"/>
    <x v="0"/>
    <x v="0"/>
  </r>
  <r>
    <x v="5"/>
    <x v="5"/>
    <x v="70"/>
    <x v="4"/>
    <x v="1"/>
    <x v="0"/>
    <x v="0"/>
  </r>
  <r>
    <x v="5"/>
    <x v="5"/>
    <x v="71"/>
    <x v="7"/>
    <x v="37"/>
    <x v="0"/>
    <x v="0"/>
  </r>
  <r>
    <x v="5"/>
    <x v="5"/>
    <x v="72"/>
    <x v="1"/>
    <x v="1"/>
    <x v="0"/>
    <x v="0"/>
  </r>
  <r>
    <x v="5"/>
    <x v="5"/>
    <x v="66"/>
    <x v="1"/>
    <x v="19"/>
    <x v="0"/>
    <x v="0"/>
  </r>
  <r>
    <x v="5"/>
    <x v="5"/>
    <x v="73"/>
    <x v="9"/>
    <x v="38"/>
    <x v="0"/>
    <x v="0"/>
  </r>
  <r>
    <x v="5"/>
    <x v="5"/>
    <x v="2"/>
    <x v="1"/>
    <x v="1"/>
    <x v="0"/>
    <x v="0"/>
  </r>
  <r>
    <x v="5"/>
    <x v="5"/>
    <x v="74"/>
    <x v="0"/>
    <x v="1"/>
    <x v="0"/>
    <x v="0"/>
  </r>
  <r>
    <x v="5"/>
    <x v="5"/>
    <x v="66"/>
    <x v="1"/>
    <x v="1"/>
    <x v="0"/>
    <x v="0"/>
  </r>
  <r>
    <x v="5"/>
    <x v="5"/>
    <x v="75"/>
    <x v="4"/>
    <x v="28"/>
    <x v="0"/>
    <x v="0"/>
  </r>
  <r>
    <x v="5"/>
    <x v="5"/>
    <x v="76"/>
    <x v="4"/>
    <x v="19"/>
    <x v="0"/>
    <x v="0"/>
  </r>
  <r>
    <x v="5"/>
    <x v="5"/>
    <x v="77"/>
    <x v="1"/>
    <x v="39"/>
    <x v="0"/>
    <x v="0"/>
  </r>
  <r>
    <x v="5"/>
    <x v="5"/>
    <x v="78"/>
    <x v="1"/>
    <x v="19"/>
    <x v="0"/>
    <x v="0"/>
  </r>
  <r>
    <x v="5"/>
    <x v="5"/>
    <x v="2"/>
    <x v="1"/>
    <x v="3"/>
    <x v="0"/>
    <x v="0"/>
  </r>
  <r>
    <x v="5"/>
    <x v="5"/>
    <x v="2"/>
    <x v="1"/>
    <x v="7"/>
    <x v="0"/>
    <x v="0"/>
  </r>
  <r>
    <x v="5"/>
    <x v="5"/>
    <x v="31"/>
    <x v="0"/>
    <x v="0"/>
    <x v="0"/>
    <x v="0"/>
  </r>
  <r>
    <x v="5"/>
    <x v="5"/>
    <x v="8"/>
    <x v="5"/>
    <x v="9"/>
    <x v="0"/>
    <x v="0"/>
  </r>
  <r>
    <x v="5"/>
    <x v="5"/>
    <x v="79"/>
    <x v="4"/>
    <x v="37"/>
    <x v="0"/>
    <x v="0"/>
  </r>
  <r>
    <x v="5"/>
    <x v="5"/>
    <x v="9"/>
    <x v="6"/>
    <x v="10"/>
    <x v="0"/>
    <x v="0"/>
  </r>
  <r>
    <x v="5"/>
    <x v="5"/>
    <x v="2"/>
    <x v="1"/>
    <x v="1"/>
    <x v="0"/>
    <x v="0"/>
  </r>
  <r>
    <x v="5"/>
    <x v="5"/>
    <x v="80"/>
    <x v="1"/>
    <x v="40"/>
    <x v="0"/>
    <x v="0"/>
  </r>
  <r>
    <x v="5"/>
    <x v="5"/>
    <x v="2"/>
    <x v="1"/>
    <x v="41"/>
    <x v="0"/>
    <x v="0"/>
  </r>
  <r>
    <x v="5"/>
    <x v="5"/>
    <x v="2"/>
    <x v="1"/>
    <x v="37"/>
    <x v="0"/>
    <x v="0"/>
  </r>
  <r>
    <x v="5"/>
    <x v="5"/>
    <x v="1"/>
    <x v="0"/>
    <x v="19"/>
    <x v="0"/>
    <x v="0"/>
  </r>
  <r>
    <x v="5"/>
    <x v="5"/>
    <x v="2"/>
    <x v="1"/>
    <x v="7"/>
    <x v="0"/>
    <x v="0"/>
  </r>
  <r>
    <x v="5"/>
    <x v="5"/>
    <x v="8"/>
    <x v="5"/>
    <x v="9"/>
    <x v="0"/>
    <x v="0"/>
  </r>
  <r>
    <x v="5"/>
    <x v="5"/>
    <x v="18"/>
    <x v="8"/>
    <x v="9"/>
    <x v="0"/>
    <x v="0"/>
  </r>
  <r>
    <x v="5"/>
    <x v="5"/>
    <x v="81"/>
    <x v="4"/>
    <x v="9"/>
    <x v="0"/>
    <x v="0"/>
  </r>
  <r>
    <x v="5"/>
    <x v="5"/>
    <x v="2"/>
    <x v="1"/>
    <x v="19"/>
    <x v="0"/>
    <x v="0"/>
  </r>
  <r>
    <x v="6"/>
    <x v="0"/>
    <x v="82"/>
    <x v="7"/>
    <x v="1"/>
    <x v="0"/>
    <x v="1"/>
  </r>
  <r>
    <x v="6"/>
    <x v="0"/>
    <x v="12"/>
    <x v="7"/>
    <x v="19"/>
    <x v="0"/>
    <x v="1"/>
  </r>
  <r>
    <x v="6"/>
    <x v="0"/>
    <x v="12"/>
    <x v="7"/>
    <x v="18"/>
    <x v="0"/>
    <x v="1"/>
  </r>
  <r>
    <x v="6"/>
    <x v="0"/>
    <x v="83"/>
    <x v="1"/>
    <x v="18"/>
    <x v="0"/>
    <x v="1"/>
  </r>
  <r>
    <x v="6"/>
    <x v="0"/>
    <x v="31"/>
    <x v="0"/>
    <x v="0"/>
    <x v="0"/>
    <x v="1"/>
  </r>
  <r>
    <x v="6"/>
    <x v="0"/>
    <x v="2"/>
    <x v="1"/>
    <x v="1"/>
    <x v="0"/>
    <x v="1"/>
  </r>
  <r>
    <x v="6"/>
    <x v="0"/>
    <x v="84"/>
    <x v="8"/>
    <x v="15"/>
    <x v="0"/>
    <x v="1"/>
  </r>
  <r>
    <x v="6"/>
    <x v="0"/>
    <x v="85"/>
    <x v="4"/>
    <x v="1"/>
    <x v="0"/>
    <x v="1"/>
  </r>
  <r>
    <x v="6"/>
    <x v="0"/>
    <x v="8"/>
    <x v="5"/>
    <x v="9"/>
    <x v="0"/>
    <x v="1"/>
  </r>
  <r>
    <x v="6"/>
    <x v="0"/>
    <x v="2"/>
    <x v="1"/>
    <x v="9"/>
    <x v="0"/>
    <x v="1"/>
  </r>
  <r>
    <x v="6"/>
    <x v="0"/>
    <x v="86"/>
    <x v="1"/>
    <x v="9"/>
    <x v="0"/>
    <x v="1"/>
  </r>
  <r>
    <x v="6"/>
    <x v="0"/>
    <x v="2"/>
    <x v="1"/>
    <x v="18"/>
    <x v="0"/>
    <x v="1"/>
  </r>
  <r>
    <x v="6"/>
    <x v="0"/>
    <x v="8"/>
    <x v="5"/>
    <x v="9"/>
    <x v="0"/>
    <x v="1"/>
  </r>
  <r>
    <x v="6"/>
    <x v="0"/>
    <x v="2"/>
    <x v="1"/>
    <x v="19"/>
    <x v="0"/>
    <x v="1"/>
  </r>
  <r>
    <x v="6"/>
    <x v="0"/>
    <x v="87"/>
    <x v="0"/>
    <x v="3"/>
    <x v="0"/>
    <x v="1"/>
  </r>
  <r>
    <x v="6"/>
    <x v="0"/>
    <x v="8"/>
    <x v="5"/>
    <x v="9"/>
    <x v="0"/>
    <x v="1"/>
  </r>
  <r>
    <x v="6"/>
    <x v="0"/>
    <x v="35"/>
    <x v="1"/>
    <x v="18"/>
    <x v="0"/>
    <x v="1"/>
  </r>
  <r>
    <x v="6"/>
    <x v="0"/>
    <x v="1"/>
    <x v="0"/>
    <x v="19"/>
    <x v="0"/>
    <x v="1"/>
  </r>
  <r>
    <x v="6"/>
    <x v="0"/>
    <x v="31"/>
    <x v="0"/>
    <x v="0"/>
    <x v="0"/>
    <x v="1"/>
  </r>
  <r>
    <x v="6"/>
    <x v="0"/>
    <x v="8"/>
    <x v="5"/>
    <x v="9"/>
    <x v="0"/>
    <x v="1"/>
  </r>
  <r>
    <x v="6"/>
    <x v="0"/>
    <x v="88"/>
    <x v="1"/>
    <x v="40"/>
    <x v="0"/>
    <x v="1"/>
  </r>
  <r>
    <x v="6"/>
    <x v="0"/>
    <x v="8"/>
    <x v="5"/>
    <x v="9"/>
    <x v="0"/>
    <x v="1"/>
  </r>
  <r>
    <x v="6"/>
    <x v="0"/>
    <x v="1"/>
    <x v="0"/>
    <x v="1"/>
    <x v="0"/>
    <x v="1"/>
  </r>
  <r>
    <x v="6"/>
    <x v="0"/>
    <x v="74"/>
    <x v="0"/>
    <x v="18"/>
    <x v="0"/>
    <x v="1"/>
  </r>
  <r>
    <x v="6"/>
    <x v="0"/>
    <x v="31"/>
    <x v="0"/>
    <x v="19"/>
    <x v="0"/>
    <x v="1"/>
  </r>
  <r>
    <x v="6"/>
    <x v="0"/>
    <x v="88"/>
    <x v="1"/>
    <x v="24"/>
    <x v="0"/>
    <x v="1"/>
  </r>
  <r>
    <x v="6"/>
    <x v="0"/>
    <x v="31"/>
    <x v="0"/>
    <x v="19"/>
    <x v="0"/>
    <x v="1"/>
  </r>
  <r>
    <x v="6"/>
    <x v="0"/>
    <x v="89"/>
    <x v="1"/>
    <x v="6"/>
    <x v="0"/>
    <x v="1"/>
  </r>
  <r>
    <x v="6"/>
    <x v="0"/>
    <x v="2"/>
    <x v="1"/>
    <x v="17"/>
    <x v="0"/>
    <x v="1"/>
  </r>
  <r>
    <x v="6"/>
    <x v="0"/>
    <x v="8"/>
    <x v="5"/>
    <x v="9"/>
    <x v="0"/>
    <x v="1"/>
  </r>
  <r>
    <x v="6"/>
    <x v="0"/>
    <x v="90"/>
    <x v="4"/>
    <x v="7"/>
    <x v="0"/>
    <x v="1"/>
  </r>
  <r>
    <x v="6"/>
    <x v="0"/>
    <x v="2"/>
    <x v="1"/>
    <x v="3"/>
    <x v="0"/>
    <x v="1"/>
  </r>
  <r>
    <x v="6"/>
    <x v="0"/>
    <x v="91"/>
    <x v="4"/>
    <x v="3"/>
    <x v="0"/>
    <x v="1"/>
  </r>
  <r>
    <x v="6"/>
    <x v="0"/>
    <x v="2"/>
    <x v="1"/>
    <x v="7"/>
    <x v="0"/>
    <x v="1"/>
  </r>
  <r>
    <x v="6"/>
    <x v="0"/>
    <x v="8"/>
    <x v="5"/>
    <x v="9"/>
    <x v="0"/>
    <x v="1"/>
  </r>
  <r>
    <x v="6"/>
    <x v="0"/>
    <x v="86"/>
    <x v="1"/>
    <x v="15"/>
    <x v="0"/>
    <x v="1"/>
  </r>
  <r>
    <x v="6"/>
    <x v="0"/>
    <x v="86"/>
    <x v="1"/>
    <x v="1"/>
    <x v="0"/>
    <x v="1"/>
  </r>
  <r>
    <x v="6"/>
    <x v="0"/>
    <x v="86"/>
    <x v="1"/>
    <x v="9"/>
    <x v="0"/>
    <x v="1"/>
  </r>
  <r>
    <x v="6"/>
    <x v="0"/>
    <x v="86"/>
    <x v="1"/>
    <x v="2"/>
    <x v="0"/>
    <x v="1"/>
  </r>
  <r>
    <x v="6"/>
    <x v="0"/>
    <x v="92"/>
    <x v="7"/>
    <x v="19"/>
    <x v="0"/>
    <x v="1"/>
  </r>
  <r>
    <x v="6"/>
    <x v="0"/>
    <x v="86"/>
    <x v="1"/>
    <x v="18"/>
    <x v="0"/>
    <x v="1"/>
  </r>
  <r>
    <x v="6"/>
    <x v="0"/>
    <x v="31"/>
    <x v="0"/>
    <x v="0"/>
    <x v="0"/>
    <x v="1"/>
  </r>
  <r>
    <x v="6"/>
    <x v="0"/>
    <x v="9"/>
    <x v="6"/>
    <x v="10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6"/>
    <x v="1"/>
    <x v="18"/>
    <x v="0"/>
    <x v="1"/>
  </r>
  <r>
    <x v="6"/>
    <x v="0"/>
    <x v="86"/>
    <x v="1"/>
    <x v="18"/>
    <x v="0"/>
    <x v="1"/>
  </r>
  <r>
    <x v="6"/>
    <x v="0"/>
    <x v="93"/>
    <x v="1"/>
    <x v="40"/>
    <x v="0"/>
    <x v="1"/>
  </r>
  <r>
    <x v="6"/>
    <x v="0"/>
    <x v="94"/>
    <x v="14"/>
    <x v="15"/>
    <x v="0"/>
    <x v="1"/>
  </r>
  <r>
    <x v="6"/>
    <x v="0"/>
    <x v="95"/>
    <x v="1"/>
    <x v="26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96"/>
    <x v="1"/>
    <x v="17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97"/>
    <x v="1"/>
    <x v="37"/>
    <x v="0"/>
    <x v="1"/>
  </r>
  <r>
    <x v="6"/>
    <x v="0"/>
    <x v="98"/>
    <x v="0"/>
    <x v="1"/>
    <x v="0"/>
    <x v="1"/>
  </r>
  <r>
    <x v="6"/>
    <x v="0"/>
    <x v="99"/>
    <x v="4"/>
    <x v="28"/>
    <x v="0"/>
    <x v="1"/>
  </r>
  <r>
    <x v="6"/>
    <x v="0"/>
    <x v="8"/>
    <x v="5"/>
    <x v="9"/>
    <x v="0"/>
    <x v="1"/>
  </r>
  <r>
    <x v="6"/>
    <x v="0"/>
    <x v="66"/>
    <x v="1"/>
    <x v="6"/>
    <x v="0"/>
    <x v="1"/>
  </r>
  <r>
    <x v="6"/>
    <x v="0"/>
    <x v="100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101"/>
    <x v="13"/>
    <x v="15"/>
    <x v="0"/>
    <x v="1"/>
  </r>
  <r>
    <x v="6"/>
    <x v="0"/>
    <x v="102"/>
    <x v="6"/>
    <x v="23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6"/>
    <x v="0"/>
    <x v="8"/>
    <x v="5"/>
    <x v="9"/>
    <x v="0"/>
    <x v="1"/>
  </r>
  <r>
    <x v="7"/>
    <x v="1"/>
    <x v="5"/>
    <x v="3"/>
    <x v="42"/>
    <x v="0"/>
    <x v="1"/>
  </r>
  <r>
    <x v="7"/>
    <x v="1"/>
    <x v="8"/>
    <x v="5"/>
    <x v="9"/>
    <x v="0"/>
    <x v="1"/>
  </r>
  <r>
    <x v="7"/>
    <x v="1"/>
    <x v="2"/>
    <x v="1"/>
    <x v="15"/>
    <x v="0"/>
    <x v="1"/>
  </r>
  <r>
    <x v="7"/>
    <x v="1"/>
    <x v="103"/>
    <x v="0"/>
    <x v="43"/>
    <x v="0"/>
    <x v="1"/>
  </r>
  <r>
    <x v="7"/>
    <x v="1"/>
    <x v="104"/>
    <x v="6"/>
    <x v="15"/>
    <x v="0"/>
    <x v="1"/>
  </r>
  <r>
    <x v="7"/>
    <x v="1"/>
    <x v="2"/>
    <x v="1"/>
    <x v="2"/>
    <x v="0"/>
    <x v="1"/>
  </r>
  <r>
    <x v="7"/>
    <x v="1"/>
    <x v="2"/>
    <x v="1"/>
    <x v="6"/>
    <x v="0"/>
    <x v="1"/>
  </r>
  <r>
    <x v="7"/>
    <x v="1"/>
    <x v="8"/>
    <x v="5"/>
    <x v="9"/>
    <x v="0"/>
    <x v="1"/>
  </r>
  <r>
    <x v="7"/>
    <x v="1"/>
    <x v="8"/>
    <x v="5"/>
    <x v="9"/>
    <x v="0"/>
    <x v="1"/>
  </r>
  <r>
    <x v="7"/>
    <x v="1"/>
    <x v="105"/>
    <x v="4"/>
    <x v="3"/>
    <x v="0"/>
    <x v="1"/>
  </r>
  <r>
    <x v="7"/>
    <x v="1"/>
    <x v="106"/>
    <x v="0"/>
    <x v="44"/>
    <x v="0"/>
    <x v="1"/>
  </r>
  <r>
    <x v="7"/>
    <x v="1"/>
    <x v="9"/>
    <x v="6"/>
    <x v="10"/>
    <x v="0"/>
    <x v="1"/>
  </r>
  <r>
    <x v="7"/>
    <x v="1"/>
    <x v="80"/>
    <x v="1"/>
    <x v="17"/>
    <x v="0"/>
    <x v="1"/>
  </r>
  <r>
    <x v="7"/>
    <x v="1"/>
    <x v="107"/>
    <x v="6"/>
    <x v="45"/>
    <x v="0"/>
    <x v="1"/>
  </r>
  <r>
    <x v="7"/>
    <x v="1"/>
    <x v="2"/>
    <x v="1"/>
    <x v="3"/>
    <x v="0"/>
    <x v="1"/>
  </r>
  <r>
    <x v="7"/>
    <x v="1"/>
    <x v="8"/>
    <x v="5"/>
    <x v="9"/>
    <x v="0"/>
    <x v="1"/>
  </r>
  <r>
    <x v="7"/>
    <x v="1"/>
    <x v="8"/>
    <x v="5"/>
    <x v="9"/>
    <x v="0"/>
    <x v="1"/>
  </r>
  <r>
    <x v="7"/>
    <x v="1"/>
    <x v="92"/>
    <x v="7"/>
    <x v="19"/>
    <x v="0"/>
    <x v="1"/>
  </r>
  <r>
    <x v="7"/>
    <x v="1"/>
    <x v="8"/>
    <x v="5"/>
    <x v="9"/>
    <x v="0"/>
    <x v="1"/>
  </r>
  <r>
    <x v="8"/>
    <x v="2"/>
    <x v="96"/>
    <x v="1"/>
    <x v="6"/>
    <x v="0"/>
    <x v="1"/>
  </r>
  <r>
    <x v="8"/>
    <x v="2"/>
    <x v="2"/>
    <x v="1"/>
    <x v="3"/>
    <x v="0"/>
    <x v="1"/>
  </r>
  <r>
    <x v="8"/>
    <x v="2"/>
    <x v="108"/>
    <x v="0"/>
    <x v="46"/>
    <x v="0"/>
    <x v="1"/>
  </r>
  <r>
    <x v="8"/>
    <x v="2"/>
    <x v="2"/>
    <x v="1"/>
    <x v="3"/>
    <x v="0"/>
    <x v="1"/>
  </r>
  <r>
    <x v="8"/>
    <x v="2"/>
    <x v="2"/>
    <x v="1"/>
    <x v="17"/>
    <x v="0"/>
    <x v="1"/>
  </r>
  <r>
    <x v="8"/>
    <x v="2"/>
    <x v="109"/>
    <x v="4"/>
    <x v="47"/>
    <x v="0"/>
    <x v="1"/>
  </r>
  <r>
    <x v="8"/>
    <x v="2"/>
    <x v="31"/>
    <x v="0"/>
    <x v="19"/>
    <x v="0"/>
    <x v="1"/>
  </r>
  <r>
    <x v="8"/>
    <x v="2"/>
    <x v="8"/>
    <x v="5"/>
    <x v="9"/>
    <x v="0"/>
    <x v="1"/>
  </r>
  <r>
    <x v="8"/>
    <x v="2"/>
    <x v="110"/>
    <x v="0"/>
    <x v="4"/>
    <x v="0"/>
    <x v="1"/>
  </r>
  <r>
    <x v="8"/>
    <x v="2"/>
    <x v="8"/>
    <x v="5"/>
    <x v="9"/>
    <x v="0"/>
    <x v="1"/>
  </r>
  <r>
    <x v="8"/>
    <x v="2"/>
    <x v="8"/>
    <x v="5"/>
    <x v="9"/>
    <x v="0"/>
    <x v="1"/>
  </r>
  <r>
    <x v="9"/>
    <x v="3"/>
    <x v="111"/>
    <x v="4"/>
    <x v="15"/>
    <x v="0"/>
    <x v="1"/>
  </r>
  <r>
    <x v="9"/>
    <x v="3"/>
    <x v="112"/>
    <x v="1"/>
    <x v="48"/>
    <x v="0"/>
    <x v="1"/>
  </r>
  <r>
    <x v="9"/>
    <x v="3"/>
    <x v="25"/>
    <x v="1"/>
    <x v="37"/>
    <x v="0"/>
    <x v="1"/>
  </r>
  <r>
    <x v="9"/>
    <x v="3"/>
    <x v="113"/>
    <x v="6"/>
    <x v="1"/>
    <x v="0"/>
    <x v="1"/>
  </r>
  <r>
    <x v="9"/>
    <x v="3"/>
    <x v="2"/>
    <x v="1"/>
    <x v="1"/>
    <x v="0"/>
    <x v="1"/>
  </r>
  <r>
    <x v="9"/>
    <x v="3"/>
    <x v="114"/>
    <x v="13"/>
    <x v="47"/>
    <x v="0"/>
    <x v="1"/>
  </r>
  <r>
    <x v="9"/>
    <x v="3"/>
    <x v="86"/>
    <x v="1"/>
    <x v="6"/>
    <x v="0"/>
    <x v="1"/>
  </r>
  <r>
    <x v="9"/>
    <x v="3"/>
    <x v="115"/>
    <x v="0"/>
    <x v="36"/>
    <x v="0"/>
    <x v="1"/>
  </r>
  <r>
    <x v="9"/>
    <x v="3"/>
    <x v="88"/>
    <x v="1"/>
    <x v="9"/>
    <x v="0"/>
    <x v="1"/>
  </r>
  <r>
    <x v="9"/>
    <x v="3"/>
    <x v="0"/>
    <x v="0"/>
    <x v="41"/>
    <x v="0"/>
    <x v="1"/>
  </r>
  <r>
    <x v="9"/>
    <x v="3"/>
    <x v="2"/>
    <x v="1"/>
    <x v="1"/>
    <x v="0"/>
    <x v="1"/>
  </r>
  <r>
    <x v="9"/>
    <x v="3"/>
    <x v="5"/>
    <x v="3"/>
    <x v="15"/>
    <x v="0"/>
    <x v="1"/>
  </r>
  <r>
    <x v="9"/>
    <x v="3"/>
    <x v="8"/>
    <x v="5"/>
    <x v="9"/>
    <x v="0"/>
    <x v="1"/>
  </r>
  <r>
    <x v="9"/>
    <x v="3"/>
    <x v="116"/>
    <x v="10"/>
    <x v="49"/>
    <x v="0"/>
    <x v="1"/>
  </r>
  <r>
    <x v="9"/>
    <x v="3"/>
    <x v="66"/>
    <x v="1"/>
    <x v="1"/>
    <x v="0"/>
    <x v="1"/>
  </r>
  <r>
    <x v="9"/>
    <x v="3"/>
    <x v="8"/>
    <x v="5"/>
    <x v="9"/>
    <x v="0"/>
    <x v="1"/>
  </r>
  <r>
    <x v="9"/>
    <x v="3"/>
    <x v="86"/>
    <x v="1"/>
    <x v="7"/>
    <x v="0"/>
    <x v="1"/>
  </r>
  <r>
    <x v="9"/>
    <x v="3"/>
    <x v="117"/>
    <x v="4"/>
    <x v="15"/>
    <x v="0"/>
    <x v="1"/>
  </r>
  <r>
    <x v="9"/>
    <x v="3"/>
    <x v="118"/>
    <x v="4"/>
    <x v="4"/>
    <x v="0"/>
    <x v="1"/>
  </r>
  <r>
    <x v="9"/>
    <x v="3"/>
    <x v="119"/>
    <x v="4"/>
    <x v="50"/>
    <x v="0"/>
    <x v="1"/>
  </r>
  <r>
    <x v="9"/>
    <x v="3"/>
    <x v="120"/>
    <x v="4"/>
    <x v="28"/>
    <x v="0"/>
    <x v="1"/>
  </r>
  <r>
    <x v="9"/>
    <x v="3"/>
    <x v="18"/>
    <x v="8"/>
    <x v="15"/>
    <x v="0"/>
    <x v="1"/>
  </r>
  <r>
    <x v="9"/>
    <x v="3"/>
    <x v="2"/>
    <x v="1"/>
    <x v="2"/>
    <x v="0"/>
    <x v="1"/>
  </r>
  <r>
    <x v="9"/>
    <x v="3"/>
    <x v="121"/>
    <x v="0"/>
    <x v="15"/>
    <x v="0"/>
    <x v="1"/>
  </r>
  <r>
    <x v="9"/>
    <x v="3"/>
    <x v="122"/>
    <x v="2"/>
    <x v="17"/>
    <x v="0"/>
    <x v="1"/>
  </r>
  <r>
    <x v="9"/>
    <x v="3"/>
    <x v="86"/>
    <x v="1"/>
    <x v="6"/>
    <x v="0"/>
    <x v="1"/>
  </r>
  <r>
    <x v="9"/>
    <x v="3"/>
    <x v="8"/>
    <x v="5"/>
    <x v="9"/>
    <x v="0"/>
    <x v="1"/>
  </r>
  <r>
    <x v="9"/>
    <x v="3"/>
    <x v="2"/>
    <x v="1"/>
    <x v="6"/>
    <x v="0"/>
    <x v="1"/>
  </r>
  <r>
    <x v="9"/>
    <x v="3"/>
    <x v="2"/>
    <x v="1"/>
    <x v="18"/>
    <x v="0"/>
    <x v="1"/>
  </r>
  <r>
    <x v="9"/>
    <x v="3"/>
    <x v="2"/>
    <x v="1"/>
    <x v="1"/>
    <x v="0"/>
    <x v="1"/>
  </r>
  <r>
    <x v="9"/>
    <x v="3"/>
    <x v="6"/>
    <x v="2"/>
    <x v="3"/>
    <x v="0"/>
    <x v="1"/>
  </r>
  <r>
    <x v="10"/>
    <x v="4"/>
    <x v="2"/>
    <x v="1"/>
    <x v="19"/>
    <x v="0"/>
    <x v="1"/>
  </r>
  <r>
    <x v="10"/>
    <x v="4"/>
    <x v="123"/>
    <x v="13"/>
    <x v="42"/>
    <x v="0"/>
    <x v="1"/>
  </r>
  <r>
    <x v="10"/>
    <x v="4"/>
    <x v="53"/>
    <x v="1"/>
    <x v="7"/>
    <x v="0"/>
    <x v="1"/>
  </r>
  <r>
    <x v="10"/>
    <x v="4"/>
    <x v="124"/>
    <x v="7"/>
    <x v="0"/>
    <x v="0"/>
    <x v="1"/>
  </r>
  <r>
    <x v="10"/>
    <x v="4"/>
    <x v="8"/>
    <x v="5"/>
    <x v="9"/>
    <x v="0"/>
    <x v="1"/>
  </r>
  <r>
    <x v="10"/>
    <x v="4"/>
    <x v="2"/>
    <x v="1"/>
    <x v="1"/>
    <x v="0"/>
    <x v="1"/>
  </r>
  <r>
    <x v="10"/>
    <x v="4"/>
    <x v="8"/>
    <x v="5"/>
    <x v="9"/>
    <x v="0"/>
    <x v="1"/>
  </r>
  <r>
    <x v="10"/>
    <x v="4"/>
    <x v="1"/>
    <x v="0"/>
    <x v="19"/>
    <x v="0"/>
    <x v="1"/>
  </r>
  <r>
    <x v="10"/>
    <x v="4"/>
    <x v="86"/>
    <x v="1"/>
    <x v="15"/>
    <x v="0"/>
    <x v="1"/>
  </r>
  <r>
    <x v="10"/>
    <x v="4"/>
    <x v="88"/>
    <x v="1"/>
    <x v="2"/>
    <x v="0"/>
    <x v="1"/>
  </r>
  <r>
    <x v="10"/>
    <x v="4"/>
    <x v="73"/>
    <x v="9"/>
    <x v="3"/>
    <x v="0"/>
    <x v="1"/>
  </r>
  <r>
    <x v="10"/>
    <x v="4"/>
    <x v="1"/>
    <x v="0"/>
    <x v="51"/>
    <x v="0"/>
    <x v="1"/>
  </r>
  <r>
    <x v="10"/>
    <x v="4"/>
    <x v="1"/>
    <x v="0"/>
    <x v="6"/>
    <x v="0"/>
    <x v="1"/>
  </r>
  <r>
    <x v="10"/>
    <x v="4"/>
    <x v="125"/>
    <x v="0"/>
    <x v="19"/>
    <x v="0"/>
    <x v="1"/>
  </r>
  <r>
    <x v="10"/>
    <x v="4"/>
    <x v="31"/>
    <x v="0"/>
    <x v="19"/>
    <x v="0"/>
    <x v="1"/>
  </r>
  <r>
    <x v="10"/>
    <x v="4"/>
    <x v="126"/>
    <x v="4"/>
    <x v="18"/>
    <x v="0"/>
    <x v="1"/>
  </r>
  <r>
    <x v="10"/>
    <x v="4"/>
    <x v="127"/>
    <x v="0"/>
    <x v="1"/>
    <x v="0"/>
    <x v="1"/>
  </r>
  <r>
    <x v="10"/>
    <x v="4"/>
    <x v="128"/>
    <x v="7"/>
    <x v="19"/>
    <x v="0"/>
    <x v="1"/>
  </r>
  <r>
    <x v="10"/>
    <x v="4"/>
    <x v="5"/>
    <x v="3"/>
    <x v="7"/>
    <x v="0"/>
    <x v="1"/>
  </r>
  <r>
    <x v="10"/>
    <x v="4"/>
    <x v="129"/>
    <x v="1"/>
    <x v="52"/>
    <x v="0"/>
    <x v="1"/>
  </r>
  <r>
    <x v="10"/>
    <x v="4"/>
    <x v="72"/>
    <x v="1"/>
    <x v="15"/>
    <x v="0"/>
    <x v="1"/>
  </r>
  <r>
    <x v="10"/>
    <x v="4"/>
    <x v="130"/>
    <x v="0"/>
    <x v="53"/>
    <x v="0"/>
    <x v="1"/>
  </r>
  <r>
    <x v="10"/>
    <x v="4"/>
    <x v="86"/>
    <x v="1"/>
    <x v="40"/>
    <x v="0"/>
    <x v="1"/>
  </r>
  <r>
    <x v="10"/>
    <x v="4"/>
    <x v="7"/>
    <x v="4"/>
    <x v="24"/>
    <x v="0"/>
    <x v="1"/>
  </r>
  <r>
    <x v="10"/>
    <x v="4"/>
    <x v="86"/>
    <x v="1"/>
    <x v="26"/>
    <x v="0"/>
    <x v="1"/>
  </r>
  <r>
    <x v="10"/>
    <x v="4"/>
    <x v="131"/>
    <x v="0"/>
    <x v="4"/>
    <x v="0"/>
    <x v="1"/>
  </r>
  <r>
    <x v="10"/>
    <x v="4"/>
    <x v="8"/>
    <x v="5"/>
    <x v="9"/>
    <x v="0"/>
    <x v="1"/>
  </r>
  <r>
    <x v="10"/>
    <x v="4"/>
    <x v="8"/>
    <x v="5"/>
    <x v="9"/>
    <x v="0"/>
    <x v="1"/>
  </r>
  <r>
    <x v="10"/>
    <x v="4"/>
    <x v="117"/>
    <x v="4"/>
    <x v="15"/>
    <x v="0"/>
    <x v="1"/>
  </r>
  <r>
    <x v="10"/>
    <x v="4"/>
    <x v="8"/>
    <x v="5"/>
    <x v="9"/>
    <x v="0"/>
    <x v="1"/>
  </r>
  <r>
    <x v="10"/>
    <x v="4"/>
    <x v="90"/>
    <x v="4"/>
    <x v="18"/>
    <x v="0"/>
    <x v="1"/>
  </r>
  <r>
    <x v="10"/>
    <x v="4"/>
    <x v="132"/>
    <x v="4"/>
    <x v="8"/>
    <x v="0"/>
    <x v="1"/>
  </r>
  <r>
    <x v="10"/>
    <x v="4"/>
    <x v="7"/>
    <x v="4"/>
    <x v="29"/>
    <x v="0"/>
    <x v="1"/>
  </r>
  <r>
    <x v="10"/>
    <x v="4"/>
    <x v="8"/>
    <x v="5"/>
    <x v="9"/>
    <x v="0"/>
    <x v="1"/>
  </r>
  <r>
    <x v="10"/>
    <x v="4"/>
    <x v="133"/>
    <x v="4"/>
    <x v="8"/>
    <x v="0"/>
    <x v="1"/>
  </r>
  <r>
    <x v="10"/>
    <x v="4"/>
    <x v="134"/>
    <x v="4"/>
    <x v="51"/>
    <x v="0"/>
    <x v="1"/>
  </r>
  <r>
    <x v="11"/>
    <x v="5"/>
    <x v="135"/>
    <x v="5"/>
    <x v="10"/>
    <x v="0"/>
    <x v="1"/>
  </r>
  <r>
    <x v="11"/>
    <x v="5"/>
    <x v="2"/>
    <x v="1"/>
    <x v="1"/>
    <x v="0"/>
    <x v="1"/>
  </r>
  <r>
    <x v="11"/>
    <x v="5"/>
    <x v="136"/>
    <x v="0"/>
    <x v="54"/>
    <x v="0"/>
    <x v="1"/>
  </r>
  <r>
    <x v="11"/>
    <x v="5"/>
    <x v="137"/>
    <x v="5"/>
    <x v="9"/>
    <x v="0"/>
    <x v="1"/>
  </r>
  <r>
    <x v="11"/>
    <x v="5"/>
    <x v="138"/>
    <x v="4"/>
    <x v="42"/>
    <x v="0"/>
    <x v="1"/>
  </r>
  <r>
    <x v="11"/>
    <x v="5"/>
    <x v="139"/>
    <x v="1"/>
    <x v="9"/>
    <x v="0"/>
    <x v="1"/>
  </r>
  <r>
    <x v="11"/>
    <x v="5"/>
    <x v="140"/>
    <x v="0"/>
    <x v="32"/>
    <x v="0"/>
    <x v="1"/>
  </r>
  <r>
    <x v="11"/>
    <x v="5"/>
    <x v="132"/>
    <x v="4"/>
    <x v="5"/>
    <x v="0"/>
    <x v="1"/>
  </r>
  <r>
    <x v="11"/>
    <x v="5"/>
    <x v="8"/>
    <x v="5"/>
    <x v="9"/>
    <x v="0"/>
    <x v="1"/>
  </r>
  <r>
    <x v="11"/>
    <x v="5"/>
    <x v="66"/>
    <x v="1"/>
    <x v="19"/>
    <x v="0"/>
    <x v="1"/>
  </r>
  <r>
    <x v="11"/>
    <x v="5"/>
    <x v="9"/>
    <x v="6"/>
    <x v="10"/>
    <x v="0"/>
    <x v="1"/>
  </r>
  <r>
    <x v="11"/>
    <x v="5"/>
    <x v="141"/>
    <x v="0"/>
    <x v="23"/>
    <x v="0"/>
    <x v="1"/>
  </r>
  <r>
    <x v="11"/>
    <x v="5"/>
    <x v="86"/>
    <x v="1"/>
    <x v="6"/>
    <x v="0"/>
    <x v="1"/>
  </r>
  <r>
    <x v="11"/>
    <x v="5"/>
    <x v="86"/>
    <x v="1"/>
    <x v="1"/>
    <x v="0"/>
    <x v="1"/>
  </r>
  <r>
    <x v="11"/>
    <x v="5"/>
    <x v="142"/>
    <x v="1"/>
    <x v="40"/>
    <x v="0"/>
    <x v="1"/>
  </r>
  <r>
    <x v="11"/>
    <x v="5"/>
    <x v="66"/>
    <x v="1"/>
    <x v="18"/>
    <x v="0"/>
    <x v="1"/>
  </r>
  <r>
    <x v="11"/>
    <x v="5"/>
    <x v="131"/>
    <x v="0"/>
    <x v="4"/>
    <x v="0"/>
    <x v="1"/>
  </r>
  <r>
    <x v="11"/>
    <x v="5"/>
    <x v="66"/>
    <x v="1"/>
    <x v="1"/>
    <x v="0"/>
    <x v="1"/>
  </r>
  <r>
    <x v="11"/>
    <x v="5"/>
    <x v="66"/>
    <x v="1"/>
    <x v="6"/>
    <x v="0"/>
    <x v="1"/>
  </r>
  <r>
    <x v="11"/>
    <x v="5"/>
    <x v="66"/>
    <x v="1"/>
    <x v="6"/>
    <x v="0"/>
    <x v="1"/>
  </r>
  <r>
    <x v="11"/>
    <x v="5"/>
    <x v="143"/>
    <x v="12"/>
    <x v="24"/>
    <x v="0"/>
    <x v="1"/>
  </r>
  <r>
    <x v="11"/>
    <x v="5"/>
    <x v="86"/>
    <x v="1"/>
    <x v="9"/>
    <x v="0"/>
    <x v="1"/>
  </r>
  <r>
    <x v="11"/>
    <x v="5"/>
    <x v="144"/>
    <x v="2"/>
    <x v="5"/>
    <x v="0"/>
    <x v="1"/>
  </r>
  <r>
    <x v="11"/>
    <x v="5"/>
    <x v="145"/>
    <x v="4"/>
    <x v="8"/>
    <x v="0"/>
    <x v="1"/>
  </r>
  <r>
    <x v="11"/>
    <x v="5"/>
    <x v="146"/>
    <x v="4"/>
    <x v="15"/>
    <x v="0"/>
    <x v="1"/>
  </r>
  <r>
    <x v="11"/>
    <x v="5"/>
    <x v="8"/>
    <x v="5"/>
    <x v="9"/>
    <x v="0"/>
    <x v="1"/>
  </r>
  <r>
    <x v="11"/>
    <x v="5"/>
    <x v="147"/>
    <x v="0"/>
    <x v="1"/>
    <x v="0"/>
    <x v="1"/>
  </r>
  <r>
    <x v="11"/>
    <x v="5"/>
    <x v="148"/>
    <x v="4"/>
    <x v="7"/>
    <x v="0"/>
    <x v="1"/>
  </r>
  <r>
    <x v="11"/>
    <x v="5"/>
    <x v="86"/>
    <x v="1"/>
    <x v="15"/>
    <x v="0"/>
    <x v="1"/>
  </r>
  <r>
    <x v="11"/>
    <x v="5"/>
    <x v="101"/>
    <x v="13"/>
    <x v="8"/>
    <x v="0"/>
    <x v="1"/>
  </r>
  <r>
    <x v="11"/>
    <x v="5"/>
    <x v="86"/>
    <x v="1"/>
    <x v="18"/>
    <x v="0"/>
    <x v="1"/>
  </r>
  <r>
    <x v="11"/>
    <x v="5"/>
    <x v="149"/>
    <x v="0"/>
    <x v="55"/>
    <x v="0"/>
    <x v="1"/>
  </r>
  <r>
    <x v="12"/>
    <x v="0"/>
    <x v="150"/>
    <x v="4"/>
    <x v="56"/>
    <x v="0"/>
    <x v="2"/>
  </r>
  <r>
    <x v="12"/>
    <x v="0"/>
    <x v="151"/>
    <x v="5"/>
    <x v="57"/>
    <x v="0"/>
    <x v="2"/>
  </r>
  <r>
    <x v="12"/>
    <x v="0"/>
    <x v="8"/>
    <x v="5"/>
    <x v="9"/>
    <x v="0"/>
    <x v="2"/>
  </r>
  <r>
    <x v="12"/>
    <x v="0"/>
    <x v="132"/>
    <x v="4"/>
    <x v="3"/>
    <x v="0"/>
    <x v="2"/>
  </r>
  <r>
    <x v="12"/>
    <x v="0"/>
    <x v="152"/>
    <x v="4"/>
    <x v="58"/>
    <x v="0"/>
    <x v="2"/>
  </r>
  <r>
    <x v="12"/>
    <x v="0"/>
    <x v="153"/>
    <x v="12"/>
    <x v="8"/>
    <x v="0"/>
    <x v="2"/>
  </r>
  <r>
    <x v="12"/>
    <x v="0"/>
    <x v="86"/>
    <x v="1"/>
    <x v="9"/>
    <x v="0"/>
    <x v="2"/>
  </r>
  <r>
    <x v="12"/>
    <x v="0"/>
    <x v="9"/>
    <x v="6"/>
    <x v="10"/>
    <x v="0"/>
    <x v="2"/>
  </r>
  <r>
    <x v="12"/>
    <x v="0"/>
    <x v="86"/>
    <x v="1"/>
    <x v="9"/>
    <x v="0"/>
    <x v="2"/>
  </r>
  <r>
    <x v="12"/>
    <x v="0"/>
    <x v="154"/>
    <x v="0"/>
    <x v="46"/>
    <x v="0"/>
    <x v="2"/>
  </r>
  <r>
    <x v="12"/>
    <x v="0"/>
    <x v="155"/>
    <x v="0"/>
    <x v="6"/>
    <x v="0"/>
    <x v="2"/>
  </r>
  <r>
    <x v="12"/>
    <x v="0"/>
    <x v="86"/>
    <x v="1"/>
    <x v="1"/>
    <x v="0"/>
    <x v="2"/>
  </r>
  <r>
    <x v="12"/>
    <x v="0"/>
    <x v="86"/>
    <x v="1"/>
    <x v="59"/>
    <x v="0"/>
    <x v="2"/>
  </r>
  <r>
    <x v="12"/>
    <x v="0"/>
    <x v="86"/>
    <x v="1"/>
    <x v="9"/>
    <x v="0"/>
    <x v="2"/>
  </r>
  <r>
    <x v="12"/>
    <x v="0"/>
    <x v="114"/>
    <x v="13"/>
    <x v="60"/>
    <x v="0"/>
    <x v="2"/>
  </r>
  <r>
    <x v="12"/>
    <x v="0"/>
    <x v="66"/>
    <x v="1"/>
    <x v="1"/>
    <x v="0"/>
    <x v="2"/>
  </r>
  <r>
    <x v="12"/>
    <x v="0"/>
    <x v="156"/>
    <x v="1"/>
    <x v="15"/>
    <x v="0"/>
    <x v="2"/>
  </r>
  <r>
    <x v="12"/>
    <x v="0"/>
    <x v="8"/>
    <x v="5"/>
    <x v="9"/>
    <x v="0"/>
    <x v="2"/>
  </r>
  <r>
    <x v="12"/>
    <x v="0"/>
    <x v="157"/>
    <x v="7"/>
    <x v="1"/>
    <x v="0"/>
    <x v="2"/>
  </r>
  <r>
    <x v="12"/>
    <x v="0"/>
    <x v="158"/>
    <x v="0"/>
    <x v="8"/>
    <x v="0"/>
    <x v="2"/>
  </r>
  <r>
    <x v="12"/>
    <x v="0"/>
    <x v="91"/>
    <x v="4"/>
    <x v="3"/>
    <x v="0"/>
    <x v="2"/>
  </r>
  <r>
    <x v="12"/>
    <x v="0"/>
    <x v="159"/>
    <x v="4"/>
    <x v="61"/>
    <x v="0"/>
    <x v="2"/>
  </r>
  <r>
    <x v="12"/>
    <x v="0"/>
    <x v="156"/>
    <x v="1"/>
    <x v="62"/>
    <x v="0"/>
    <x v="2"/>
  </r>
  <r>
    <x v="12"/>
    <x v="0"/>
    <x v="160"/>
    <x v="0"/>
    <x v="19"/>
    <x v="0"/>
    <x v="2"/>
  </r>
  <r>
    <x v="12"/>
    <x v="0"/>
    <x v="1"/>
    <x v="0"/>
    <x v="41"/>
    <x v="0"/>
    <x v="2"/>
  </r>
  <r>
    <x v="12"/>
    <x v="0"/>
    <x v="8"/>
    <x v="5"/>
    <x v="9"/>
    <x v="0"/>
    <x v="2"/>
  </r>
  <r>
    <x v="12"/>
    <x v="0"/>
    <x v="73"/>
    <x v="9"/>
    <x v="17"/>
    <x v="0"/>
    <x v="2"/>
  </r>
  <r>
    <x v="12"/>
    <x v="0"/>
    <x v="66"/>
    <x v="1"/>
    <x v="2"/>
    <x v="0"/>
    <x v="2"/>
  </r>
  <r>
    <x v="12"/>
    <x v="0"/>
    <x v="8"/>
    <x v="5"/>
    <x v="9"/>
    <x v="0"/>
    <x v="2"/>
  </r>
  <r>
    <x v="12"/>
    <x v="0"/>
    <x v="1"/>
    <x v="0"/>
    <x v="6"/>
    <x v="0"/>
    <x v="2"/>
  </r>
  <r>
    <x v="12"/>
    <x v="0"/>
    <x v="161"/>
    <x v="1"/>
    <x v="19"/>
    <x v="0"/>
    <x v="2"/>
  </r>
  <r>
    <x v="12"/>
    <x v="0"/>
    <x v="8"/>
    <x v="5"/>
    <x v="9"/>
    <x v="0"/>
    <x v="2"/>
  </r>
  <r>
    <x v="12"/>
    <x v="0"/>
    <x v="101"/>
    <x v="13"/>
    <x v="47"/>
    <x v="0"/>
    <x v="2"/>
  </r>
  <r>
    <x v="12"/>
    <x v="0"/>
    <x v="1"/>
    <x v="0"/>
    <x v="6"/>
    <x v="0"/>
    <x v="2"/>
  </r>
  <r>
    <x v="12"/>
    <x v="0"/>
    <x v="8"/>
    <x v="5"/>
    <x v="9"/>
    <x v="0"/>
    <x v="2"/>
  </r>
  <r>
    <x v="12"/>
    <x v="0"/>
    <x v="31"/>
    <x v="0"/>
    <x v="0"/>
    <x v="0"/>
    <x v="2"/>
  </r>
  <r>
    <x v="12"/>
    <x v="0"/>
    <x v="84"/>
    <x v="8"/>
    <x v="15"/>
    <x v="0"/>
    <x v="2"/>
  </r>
  <r>
    <x v="12"/>
    <x v="0"/>
    <x v="2"/>
    <x v="1"/>
    <x v="18"/>
    <x v="0"/>
    <x v="2"/>
  </r>
  <r>
    <x v="12"/>
    <x v="0"/>
    <x v="86"/>
    <x v="1"/>
    <x v="1"/>
    <x v="0"/>
    <x v="2"/>
  </r>
  <r>
    <x v="12"/>
    <x v="0"/>
    <x v="162"/>
    <x v="1"/>
    <x v="6"/>
    <x v="0"/>
    <x v="2"/>
  </r>
  <r>
    <x v="12"/>
    <x v="0"/>
    <x v="2"/>
    <x v="1"/>
    <x v="1"/>
    <x v="0"/>
    <x v="2"/>
  </r>
  <r>
    <x v="12"/>
    <x v="0"/>
    <x v="163"/>
    <x v="0"/>
    <x v="36"/>
    <x v="0"/>
    <x v="2"/>
  </r>
  <r>
    <x v="12"/>
    <x v="0"/>
    <x v="2"/>
    <x v="1"/>
    <x v="2"/>
    <x v="0"/>
    <x v="2"/>
  </r>
  <r>
    <x v="12"/>
    <x v="0"/>
    <x v="2"/>
    <x v="1"/>
    <x v="6"/>
    <x v="0"/>
    <x v="2"/>
  </r>
  <r>
    <x v="12"/>
    <x v="0"/>
    <x v="96"/>
    <x v="1"/>
    <x v="1"/>
    <x v="0"/>
    <x v="2"/>
  </r>
  <r>
    <x v="12"/>
    <x v="0"/>
    <x v="164"/>
    <x v="15"/>
    <x v="63"/>
    <x v="0"/>
    <x v="2"/>
  </r>
  <r>
    <x v="12"/>
    <x v="0"/>
    <x v="165"/>
    <x v="2"/>
    <x v="6"/>
    <x v="0"/>
    <x v="2"/>
  </r>
  <r>
    <x v="12"/>
    <x v="0"/>
    <x v="163"/>
    <x v="0"/>
    <x v="0"/>
    <x v="0"/>
    <x v="2"/>
  </r>
  <r>
    <x v="12"/>
    <x v="0"/>
    <x v="166"/>
    <x v="9"/>
    <x v="24"/>
    <x v="0"/>
    <x v="2"/>
  </r>
  <r>
    <x v="12"/>
    <x v="0"/>
    <x v="163"/>
    <x v="0"/>
    <x v="0"/>
    <x v="0"/>
    <x v="2"/>
  </r>
  <r>
    <x v="12"/>
    <x v="0"/>
    <x v="167"/>
    <x v="1"/>
    <x v="59"/>
    <x v="0"/>
    <x v="2"/>
  </r>
  <r>
    <x v="12"/>
    <x v="0"/>
    <x v="5"/>
    <x v="3"/>
    <x v="59"/>
    <x v="0"/>
    <x v="2"/>
  </r>
  <r>
    <x v="12"/>
    <x v="0"/>
    <x v="8"/>
    <x v="5"/>
    <x v="9"/>
    <x v="0"/>
    <x v="2"/>
  </r>
  <r>
    <x v="12"/>
    <x v="0"/>
    <x v="168"/>
    <x v="1"/>
    <x v="2"/>
    <x v="0"/>
    <x v="2"/>
  </r>
  <r>
    <x v="12"/>
    <x v="0"/>
    <x v="2"/>
    <x v="1"/>
    <x v="19"/>
    <x v="0"/>
    <x v="2"/>
  </r>
  <r>
    <x v="12"/>
    <x v="0"/>
    <x v="2"/>
    <x v="1"/>
    <x v="18"/>
    <x v="0"/>
    <x v="2"/>
  </r>
  <r>
    <x v="12"/>
    <x v="0"/>
    <x v="2"/>
    <x v="1"/>
    <x v="19"/>
    <x v="0"/>
    <x v="2"/>
  </r>
  <r>
    <x v="12"/>
    <x v="0"/>
    <x v="169"/>
    <x v="7"/>
    <x v="19"/>
    <x v="0"/>
    <x v="2"/>
  </r>
  <r>
    <x v="12"/>
    <x v="0"/>
    <x v="170"/>
    <x v="8"/>
    <x v="64"/>
    <x v="0"/>
    <x v="2"/>
  </r>
  <r>
    <x v="13"/>
    <x v="1"/>
    <x v="171"/>
    <x v="0"/>
    <x v="15"/>
    <x v="0"/>
    <x v="2"/>
  </r>
  <r>
    <x v="13"/>
    <x v="1"/>
    <x v="2"/>
    <x v="1"/>
    <x v="19"/>
    <x v="0"/>
    <x v="2"/>
  </r>
  <r>
    <x v="13"/>
    <x v="1"/>
    <x v="2"/>
    <x v="1"/>
    <x v="19"/>
    <x v="0"/>
    <x v="2"/>
  </r>
  <r>
    <x v="13"/>
    <x v="1"/>
    <x v="2"/>
    <x v="1"/>
    <x v="6"/>
    <x v="0"/>
    <x v="2"/>
  </r>
  <r>
    <x v="13"/>
    <x v="1"/>
    <x v="172"/>
    <x v="1"/>
    <x v="9"/>
    <x v="0"/>
    <x v="2"/>
  </r>
  <r>
    <x v="13"/>
    <x v="1"/>
    <x v="8"/>
    <x v="5"/>
    <x v="19"/>
    <x v="0"/>
    <x v="2"/>
  </r>
  <r>
    <x v="13"/>
    <x v="1"/>
    <x v="66"/>
    <x v="1"/>
    <x v="9"/>
    <x v="0"/>
    <x v="2"/>
  </r>
  <r>
    <x v="13"/>
    <x v="1"/>
    <x v="8"/>
    <x v="5"/>
    <x v="19"/>
    <x v="0"/>
    <x v="2"/>
  </r>
  <r>
    <x v="13"/>
    <x v="1"/>
    <x v="31"/>
    <x v="0"/>
    <x v="0"/>
    <x v="0"/>
    <x v="2"/>
  </r>
  <r>
    <x v="13"/>
    <x v="1"/>
    <x v="173"/>
    <x v="1"/>
    <x v="15"/>
    <x v="0"/>
    <x v="2"/>
  </r>
  <r>
    <x v="13"/>
    <x v="1"/>
    <x v="2"/>
    <x v="1"/>
    <x v="18"/>
    <x v="0"/>
    <x v="2"/>
  </r>
  <r>
    <x v="13"/>
    <x v="1"/>
    <x v="2"/>
    <x v="1"/>
    <x v="65"/>
    <x v="0"/>
    <x v="2"/>
  </r>
  <r>
    <x v="13"/>
    <x v="1"/>
    <x v="2"/>
    <x v="1"/>
    <x v="1"/>
    <x v="0"/>
    <x v="2"/>
  </r>
  <r>
    <x v="13"/>
    <x v="1"/>
    <x v="2"/>
    <x v="1"/>
    <x v="1"/>
    <x v="0"/>
    <x v="2"/>
  </r>
  <r>
    <x v="13"/>
    <x v="1"/>
    <x v="2"/>
    <x v="1"/>
    <x v="15"/>
    <x v="0"/>
    <x v="2"/>
  </r>
  <r>
    <x v="13"/>
    <x v="1"/>
    <x v="174"/>
    <x v="4"/>
    <x v="19"/>
    <x v="0"/>
    <x v="2"/>
  </r>
  <r>
    <x v="13"/>
    <x v="1"/>
    <x v="0"/>
    <x v="0"/>
    <x v="18"/>
    <x v="0"/>
    <x v="2"/>
  </r>
  <r>
    <x v="13"/>
    <x v="1"/>
    <x v="2"/>
    <x v="1"/>
    <x v="1"/>
    <x v="0"/>
    <x v="2"/>
  </r>
  <r>
    <x v="13"/>
    <x v="1"/>
    <x v="51"/>
    <x v="9"/>
    <x v="18"/>
    <x v="0"/>
    <x v="2"/>
  </r>
  <r>
    <x v="13"/>
    <x v="1"/>
    <x v="2"/>
    <x v="1"/>
    <x v="1"/>
    <x v="0"/>
    <x v="2"/>
  </r>
  <r>
    <x v="13"/>
    <x v="1"/>
    <x v="2"/>
    <x v="1"/>
    <x v="36"/>
    <x v="0"/>
    <x v="2"/>
  </r>
  <r>
    <x v="13"/>
    <x v="1"/>
    <x v="0"/>
    <x v="0"/>
    <x v="10"/>
    <x v="0"/>
    <x v="2"/>
  </r>
  <r>
    <x v="13"/>
    <x v="1"/>
    <x v="90"/>
    <x v="4"/>
    <x v="18"/>
    <x v="0"/>
    <x v="2"/>
  </r>
  <r>
    <x v="13"/>
    <x v="1"/>
    <x v="0"/>
    <x v="0"/>
    <x v="36"/>
    <x v="0"/>
    <x v="2"/>
  </r>
  <r>
    <x v="13"/>
    <x v="1"/>
    <x v="2"/>
    <x v="1"/>
    <x v="6"/>
    <x v="0"/>
    <x v="2"/>
  </r>
  <r>
    <x v="13"/>
    <x v="1"/>
    <x v="73"/>
    <x v="9"/>
    <x v="17"/>
    <x v="0"/>
    <x v="2"/>
  </r>
  <r>
    <x v="13"/>
    <x v="1"/>
    <x v="175"/>
    <x v="1"/>
    <x v="9"/>
    <x v="0"/>
    <x v="2"/>
  </r>
  <r>
    <x v="13"/>
    <x v="1"/>
    <x v="176"/>
    <x v="7"/>
    <x v="19"/>
    <x v="0"/>
    <x v="2"/>
  </r>
  <r>
    <x v="13"/>
    <x v="1"/>
    <x v="177"/>
    <x v="1"/>
    <x v="18"/>
    <x v="0"/>
    <x v="2"/>
  </r>
  <r>
    <x v="13"/>
    <x v="1"/>
    <x v="160"/>
    <x v="0"/>
    <x v="19"/>
    <x v="0"/>
    <x v="2"/>
  </r>
  <r>
    <x v="13"/>
    <x v="1"/>
    <x v="163"/>
    <x v="0"/>
    <x v="0"/>
    <x v="0"/>
    <x v="2"/>
  </r>
  <r>
    <x v="13"/>
    <x v="1"/>
    <x v="2"/>
    <x v="1"/>
    <x v="19"/>
    <x v="0"/>
    <x v="2"/>
  </r>
  <r>
    <x v="13"/>
    <x v="1"/>
    <x v="178"/>
    <x v="6"/>
    <x v="10"/>
    <x v="0"/>
    <x v="2"/>
  </r>
  <r>
    <x v="13"/>
    <x v="1"/>
    <x v="8"/>
    <x v="5"/>
    <x v="9"/>
    <x v="0"/>
    <x v="2"/>
  </r>
  <r>
    <x v="13"/>
    <x v="1"/>
    <x v="9"/>
    <x v="6"/>
    <x v="10"/>
    <x v="0"/>
    <x v="2"/>
  </r>
  <r>
    <x v="13"/>
    <x v="1"/>
    <x v="8"/>
    <x v="5"/>
    <x v="9"/>
    <x v="0"/>
    <x v="2"/>
  </r>
  <r>
    <x v="13"/>
    <x v="1"/>
    <x v="179"/>
    <x v="0"/>
    <x v="3"/>
    <x v="0"/>
    <x v="2"/>
  </r>
  <r>
    <x v="13"/>
    <x v="1"/>
    <x v="2"/>
    <x v="1"/>
    <x v="6"/>
    <x v="0"/>
    <x v="2"/>
  </r>
  <r>
    <x v="13"/>
    <x v="1"/>
    <x v="8"/>
    <x v="5"/>
    <x v="9"/>
    <x v="0"/>
    <x v="2"/>
  </r>
  <r>
    <x v="13"/>
    <x v="1"/>
    <x v="141"/>
    <x v="0"/>
    <x v="66"/>
    <x v="0"/>
    <x v="2"/>
  </r>
  <r>
    <x v="13"/>
    <x v="1"/>
    <x v="180"/>
    <x v="1"/>
    <x v="9"/>
    <x v="0"/>
    <x v="2"/>
  </r>
  <r>
    <x v="13"/>
    <x v="1"/>
    <x v="181"/>
    <x v="4"/>
    <x v="67"/>
    <x v="0"/>
    <x v="2"/>
  </r>
  <r>
    <x v="14"/>
    <x v="2"/>
    <x v="90"/>
    <x v="4"/>
    <x v="18"/>
    <x v="0"/>
    <x v="2"/>
  </r>
  <r>
    <x v="14"/>
    <x v="2"/>
    <x v="0"/>
    <x v="0"/>
    <x v="36"/>
    <x v="0"/>
    <x v="2"/>
  </r>
  <r>
    <x v="14"/>
    <x v="2"/>
    <x v="2"/>
    <x v="1"/>
    <x v="6"/>
    <x v="0"/>
    <x v="2"/>
  </r>
  <r>
    <x v="14"/>
    <x v="2"/>
    <x v="73"/>
    <x v="9"/>
    <x v="17"/>
    <x v="0"/>
    <x v="2"/>
  </r>
  <r>
    <x v="14"/>
    <x v="2"/>
    <x v="177"/>
    <x v="1"/>
    <x v="9"/>
    <x v="0"/>
    <x v="2"/>
  </r>
  <r>
    <x v="14"/>
    <x v="2"/>
    <x v="176"/>
    <x v="7"/>
    <x v="19"/>
    <x v="0"/>
    <x v="2"/>
  </r>
  <r>
    <x v="14"/>
    <x v="2"/>
    <x v="178"/>
    <x v="6"/>
    <x v="10"/>
    <x v="0"/>
    <x v="2"/>
  </r>
  <r>
    <x v="14"/>
    <x v="2"/>
    <x v="8"/>
    <x v="5"/>
    <x v="9"/>
    <x v="0"/>
    <x v="2"/>
  </r>
  <r>
    <x v="14"/>
    <x v="2"/>
    <x v="9"/>
    <x v="6"/>
    <x v="10"/>
    <x v="0"/>
    <x v="2"/>
  </r>
  <r>
    <x v="14"/>
    <x v="2"/>
    <x v="179"/>
    <x v="0"/>
    <x v="3"/>
    <x v="0"/>
    <x v="2"/>
  </r>
  <r>
    <x v="14"/>
    <x v="2"/>
    <x v="2"/>
    <x v="1"/>
    <x v="6"/>
    <x v="0"/>
    <x v="2"/>
  </r>
  <r>
    <x v="14"/>
    <x v="2"/>
    <x v="182"/>
    <x v="4"/>
    <x v="67"/>
    <x v="0"/>
    <x v="2"/>
  </r>
  <r>
    <x v="14"/>
    <x v="2"/>
    <x v="183"/>
    <x v="15"/>
    <x v="68"/>
    <x v="0"/>
    <x v="2"/>
  </r>
  <r>
    <x v="15"/>
    <x v="3"/>
    <x v="0"/>
    <x v="0"/>
    <x v="19"/>
    <x v="0"/>
    <x v="2"/>
  </r>
  <r>
    <x v="15"/>
    <x v="3"/>
    <x v="2"/>
    <x v="1"/>
    <x v="19"/>
    <x v="0"/>
    <x v="2"/>
  </r>
  <r>
    <x v="15"/>
    <x v="3"/>
    <x v="2"/>
    <x v="1"/>
    <x v="1"/>
    <x v="0"/>
    <x v="2"/>
  </r>
  <r>
    <x v="15"/>
    <x v="3"/>
    <x v="2"/>
    <x v="1"/>
    <x v="6"/>
    <x v="0"/>
    <x v="2"/>
  </r>
  <r>
    <x v="15"/>
    <x v="3"/>
    <x v="184"/>
    <x v="1"/>
    <x v="23"/>
    <x v="0"/>
    <x v="2"/>
  </r>
  <r>
    <x v="15"/>
    <x v="3"/>
    <x v="176"/>
    <x v="7"/>
    <x v="19"/>
    <x v="0"/>
    <x v="2"/>
  </r>
  <r>
    <x v="15"/>
    <x v="3"/>
    <x v="0"/>
    <x v="0"/>
    <x v="19"/>
    <x v="0"/>
    <x v="2"/>
  </r>
  <r>
    <x v="15"/>
    <x v="3"/>
    <x v="185"/>
    <x v="1"/>
    <x v="69"/>
    <x v="0"/>
    <x v="2"/>
  </r>
  <r>
    <x v="15"/>
    <x v="3"/>
    <x v="186"/>
    <x v="4"/>
    <x v="18"/>
    <x v="0"/>
    <x v="2"/>
  </r>
  <r>
    <x v="15"/>
    <x v="3"/>
    <x v="155"/>
    <x v="0"/>
    <x v="6"/>
    <x v="0"/>
    <x v="2"/>
  </r>
  <r>
    <x v="15"/>
    <x v="3"/>
    <x v="1"/>
    <x v="0"/>
    <x v="19"/>
    <x v="0"/>
    <x v="2"/>
  </r>
  <r>
    <x v="15"/>
    <x v="3"/>
    <x v="180"/>
    <x v="1"/>
    <x v="70"/>
    <x v="0"/>
    <x v="2"/>
  </r>
  <r>
    <x v="15"/>
    <x v="3"/>
    <x v="8"/>
    <x v="5"/>
    <x v="10"/>
    <x v="0"/>
    <x v="2"/>
  </r>
  <r>
    <x v="15"/>
    <x v="3"/>
    <x v="2"/>
    <x v="1"/>
    <x v="15"/>
    <x v="0"/>
    <x v="2"/>
  </r>
  <r>
    <x v="15"/>
    <x v="3"/>
    <x v="187"/>
    <x v="2"/>
    <x v="71"/>
    <x v="0"/>
    <x v="2"/>
  </r>
  <r>
    <x v="15"/>
    <x v="3"/>
    <x v="2"/>
    <x v="1"/>
    <x v="9"/>
    <x v="0"/>
    <x v="2"/>
  </r>
  <r>
    <x v="15"/>
    <x v="3"/>
    <x v="176"/>
    <x v="7"/>
    <x v="19"/>
    <x v="0"/>
    <x v="2"/>
  </r>
  <r>
    <x v="15"/>
    <x v="3"/>
    <x v="188"/>
    <x v="4"/>
    <x v="72"/>
    <x v="0"/>
    <x v="2"/>
  </r>
  <r>
    <x v="15"/>
    <x v="3"/>
    <x v="189"/>
    <x v="7"/>
    <x v="32"/>
    <x v="0"/>
    <x v="2"/>
  </r>
  <r>
    <x v="15"/>
    <x v="3"/>
    <x v="190"/>
    <x v="6"/>
    <x v="73"/>
    <x v="0"/>
    <x v="2"/>
  </r>
  <r>
    <x v="15"/>
    <x v="3"/>
    <x v="191"/>
    <x v="1"/>
    <x v="22"/>
    <x v="0"/>
    <x v="2"/>
  </r>
  <r>
    <x v="15"/>
    <x v="3"/>
    <x v="192"/>
    <x v="13"/>
    <x v="72"/>
    <x v="0"/>
    <x v="2"/>
  </r>
  <r>
    <x v="15"/>
    <x v="3"/>
    <x v="193"/>
    <x v="13"/>
    <x v="73"/>
    <x v="0"/>
    <x v="2"/>
  </r>
  <r>
    <x v="15"/>
    <x v="3"/>
    <x v="194"/>
    <x v="4"/>
    <x v="74"/>
    <x v="0"/>
    <x v="2"/>
  </r>
  <r>
    <x v="15"/>
    <x v="3"/>
    <x v="8"/>
    <x v="5"/>
    <x v="9"/>
    <x v="0"/>
    <x v="2"/>
  </r>
  <r>
    <x v="15"/>
    <x v="3"/>
    <x v="2"/>
    <x v="1"/>
    <x v="18"/>
    <x v="0"/>
    <x v="2"/>
  </r>
  <r>
    <x v="15"/>
    <x v="3"/>
    <x v="8"/>
    <x v="5"/>
    <x v="9"/>
    <x v="0"/>
    <x v="2"/>
  </r>
  <r>
    <x v="15"/>
    <x v="3"/>
    <x v="2"/>
    <x v="1"/>
    <x v="19"/>
    <x v="0"/>
    <x v="2"/>
  </r>
  <r>
    <x v="15"/>
    <x v="3"/>
    <x v="8"/>
    <x v="5"/>
    <x v="9"/>
    <x v="0"/>
    <x v="2"/>
  </r>
  <r>
    <x v="15"/>
    <x v="3"/>
    <x v="2"/>
    <x v="1"/>
    <x v="1"/>
    <x v="0"/>
    <x v="2"/>
  </r>
  <r>
    <x v="15"/>
    <x v="3"/>
    <x v="2"/>
    <x v="1"/>
    <x v="1"/>
    <x v="0"/>
    <x v="2"/>
  </r>
  <r>
    <x v="15"/>
    <x v="3"/>
    <x v="2"/>
    <x v="1"/>
    <x v="1"/>
    <x v="0"/>
    <x v="2"/>
  </r>
  <r>
    <x v="15"/>
    <x v="3"/>
    <x v="195"/>
    <x v="6"/>
    <x v="47"/>
    <x v="0"/>
    <x v="2"/>
  </r>
  <r>
    <x v="15"/>
    <x v="3"/>
    <x v="196"/>
    <x v="0"/>
    <x v="40"/>
    <x v="0"/>
    <x v="2"/>
  </r>
  <r>
    <x v="15"/>
    <x v="3"/>
    <x v="2"/>
    <x v="1"/>
    <x v="3"/>
    <x v="0"/>
    <x v="2"/>
  </r>
  <r>
    <x v="15"/>
    <x v="3"/>
    <x v="31"/>
    <x v="0"/>
    <x v="6"/>
    <x v="0"/>
    <x v="2"/>
  </r>
  <r>
    <x v="15"/>
    <x v="3"/>
    <x v="2"/>
    <x v="1"/>
    <x v="6"/>
    <x v="0"/>
    <x v="2"/>
  </r>
  <r>
    <x v="15"/>
    <x v="3"/>
    <x v="197"/>
    <x v="7"/>
    <x v="0"/>
    <x v="0"/>
    <x v="2"/>
  </r>
  <r>
    <x v="15"/>
    <x v="3"/>
    <x v="8"/>
    <x v="5"/>
    <x v="9"/>
    <x v="0"/>
    <x v="2"/>
  </r>
  <r>
    <x v="15"/>
    <x v="3"/>
    <x v="2"/>
    <x v="1"/>
    <x v="19"/>
    <x v="0"/>
    <x v="2"/>
  </r>
  <r>
    <x v="15"/>
    <x v="3"/>
    <x v="8"/>
    <x v="5"/>
    <x v="9"/>
    <x v="0"/>
    <x v="2"/>
  </r>
  <r>
    <x v="15"/>
    <x v="3"/>
    <x v="198"/>
    <x v="16"/>
    <x v="9"/>
    <x v="0"/>
    <x v="2"/>
  </r>
  <r>
    <x v="15"/>
    <x v="3"/>
    <x v="199"/>
    <x v="1"/>
    <x v="37"/>
    <x v="0"/>
    <x v="2"/>
  </r>
  <r>
    <x v="15"/>
    <x v="3"/>
    <x v="199"/>
    <x v="1"/>
    <x v="33"/>
    <x v="0"/>
    <x v="2"/>
  </r>
  <r>
    <x v="15"/>
    <x v="3"/>
    <x v="176"/>
    <x v="7"/>
    <x v="0"/>
    <x v="0"/>
    <x v="2"/>
  </r>
  <r>
    <x v="15"/>
    <x v="3"/>
    <x v="46"/>
    <x v="6"/>
    <x v="10"/>
    <x v="0"/>
    <x v="2"/>
  </r>
  <r>
    <x v="16"/>
    <x v="4"/>
    <x v="200"/>
    <x v="1"/>
    <x v="57"/>
    <x v="0"/>
    <x v="2"/>
  </r>
  <r>
    <x v="16"/>
    <x v="4"/>
    <x v="201"/>
    <x v="1"/>
    <x v="5"/>
    <x v="0"/>
    <x v="2"/>
  </r>
  <r>
    <x v="16"/>
    <x v="4"/>
    <x v="2"/>
    <x v="1"/>
    <x v="1"/>
    <x v="0"/>
    <x v="2"/>
  </r>
  <r>
    <x v="16"/>
    <x v="4"/>
    <x v="73"/>
    <x v="9"/>
    <x v="33"/>
    <x v="0"/>
    <x v="2"/>
  </r>
  <r>
    <x v="16"/>
    <x v="4"/>
    <x v="149"/>
    <x v="0"/>
    <x v="4"/>
    <x v="0"/>
    <x v="2"/>
  </r>
  <r>
    <x v="16"/>
    <x v="4"/>
    <x v="2"/>
    <x v="1"/>
    <x v="17"/>
    <x v="0"/>
    <x v="2"/>
  </r>
  <r>
    <x v="16"/>
    <x v="4"/>
    <x v="8"/>
    <x v="5"/>
    <x v="9"/>
    <x v="0"/>
    <x v="2"/>
  </r>
  <r>
    <x v="16"/>
    <x v="4"/>
    <x v="202"/>
    <x v="4"/>
    <x v="75"/>
    <x v="0"/>
    <x v="2"/>
  </r>
  <r>
    <x v="16"/>
    <x v="4"/>
    <x v="176"/>
    <x v="7"/>
    <x v="19"/>
    <x v="0"/>
    <x v="2"/>
  </r>
  <r>
    <x v="16"/>
    <x v="4"/>
    <x v="2"/>
    <x v="1"/>
    <x v="6"/>
    <x v="0"/>
    <x v="2"/>
  </r>
  <r>
    <x v="16"/>
    <x v="4"/>
    <x v="101"/>
    <x v="13"/>
    <x v="8"/>
    <x v="0"/>
    <x v="2"/>
  </r>
  <r>
    <x v="16"/>
    <x v="4"/>
    <x v="46"/>
    <x v="6"/>
    <x v="29"/>
    <x v="0"/>
    <x v="2"/>
  </r>
  <r>
    <x v="16"/>
    <x v="4"/>
    <x v="2"/>
    <x v="1"/>
    <x v="2"/>
    <x v="0"/>
    <x v="2"/>
  </r>
  <r>
    <x v="16"/>
    <x v="4"/>
    <x v="2"/>
    <x v="1"/>
    <x v="1"/>
    <x v="0"/>
    <x v="2"/>
  </r>
  <r>
    <x v="16"/>
    <x v="4"/>
    <x v="31"/>
    <x v="0"/>
    <x v="0"/>
    <x v="0"/>
    <x v="2"/>
  </r>
  <r>
    <x v="16"/>
    <x v="4"/>
    <x v="203"/>
    <x v="7"/>
    <x v="0"/>
    <x v="0"/>
    <x v="2"/>
  </r>
  <r>
    <x v="16"/>
    <x v="4"/>
    <x v="169"/>
    <x v="7"/>
    <x v="19"/>
    <x v="0"/>
    <x v="2"/>
  </r>
  <r>
    <x v="16"/>
    <x v="4"/>
    <x v="204"/>
    <x v="1"/>
    <x v="59"/>
    <x v="0"/>
    <x v="2"/>
  </r>
  <r>
    <x v="16"/>
    <x v="4"/>
    <x v="2"/>
    <x v="1"/>
    <x v="15"/>
    <x v="0"/>
    <x v="2"/>
  </r>
  <r>
    <x v="16"/>
    <x v="4"/>
    <x v="2"/>
    <x v="1"/>
    <x v="19"/>
    <x v="0"/>
    <x v="2"/>
  </r>
  <r>
    <x v="16"/>
    <x v="4"/>
    <x v="201"/>
    <x v="1"/>
    <x v="17"/>
    <x v="0"/>
    <x v="2"/>
  </r>
  <r>
    <x v="16"/>
    <x v="4"/>
    <x v="101"/>
    <x v="13"/>
    <x v="47"/>
    <x v="0"/>
    <x v="2"/>
  </r>
  <r>
    <x v="16"/>
    <x v="4"/>
    <x v="2"/>
    <x v="1"/>
    <x v="9"/>
    <x v="0"/>
    <x v="2"/>
  </r>
  <r>
    <x v="16"/>
    <x v="4"/>
    <x v="163"/>
    <x v="0"/>
    <x v="0"/>
    <x v="0"/>
    <x v="2"/>
  </r>
  <r>
    <x v="16"/>
    <x v="4"/>
    <x v="163"/>
    <x v="0"/>
    <x v="19"/>
    <x v="0"/>
    <x v="2"/>
  </r>
  <r>
    <x v="16"/>
    <x v="4"/>
    <x v="2"/>
    <x v="1"/>
    <x v="17"/>
    <x v="0"/>
    <x v="2"/>
  </r>
  <r>
    <x v="16"/>
    <x v="4"/>
    <x v="8"/>
    <x v="5"/>
    <x v="10"/>
    <x v="0"/>
    <x v="2"/>
  </r>
  <r>
    <x v="16"/>
    <x v="4"/>
    <x v="205"/>
    <x v="6"/>
    <x v="47"/>
    <x v="0"/>
    <x v="2"/>
  </r>
  <r>
    <x v="16"/>
    <x v="4"/>
    <x v="0"/>
    <x v="0"/>
    <x v="47"/>
    <x v="0"/>
    <x v="2"/>
  </r>
  <r>
    <x v="16"/>
    <x v="4"/>
    <x v="205"/>
    <x v="6"/>
    <x v="47"/>
    <x v="0"/>
    <x v="2"/>
  </r>
  <r>
    <x v="16"/>
    <x v="4"/>
    <x v="206"/>
    <x v="1"/>
    <x v="76"/>
    <x v="0"/>
    <x v="2"/>
  </r>
  <r>
    <x v="16"/>
    <x v="4"/>
    <x v="31"/>
    <x v="0"/>
    <x v="19"/>
    <x v="0"/>
    <x v="2"/>
  </r>
  <r>
    <x v="16"/>
    <x v="4"/>
    <x v="2"/>
    <x v="1"/>
    <x v="1"/>
    <x v="0"/>
    <x v="2"/>
  </r>
  <r>
    <x v="16"/>
    <x v="4"/>
    <x v="201"/>
    <x v="1"/>
    <x v="76"/>
    <x v="0"/>
    <x v="2"/>
  </r>
  <r>
    <x v="16"/>
    <x v="4"/>
    <x v="2"/>
    <x v="1"/>
    <x v="47"/>
    <x v="0"/>
    <x v="2"/>
  </r>
  <r>
    <x v="16"/>
    <x v="4"/>
    <x v="101"/>
    <x v="13"/>
    <x v="19"/>
    <x v="0"/>
    <x v="2"/>
  </r>
  <r>
    <x v="16"/>
    <x v="4"/>
    <x v="2"/>
    <x v="1"/>
    <x v="1"/>
    <x v="0"/>
    <x v="2"/>
  </r>
  <r>
    <x v="17"/>
    <x v="5"/>
    <x v="2"/>
    <x v="1"/>
    <x v="1"/>
    <x v="0"/>
    <x v="2"/>
  </r>
  <r>
    <x v="17"/>
    <x v="5"/>
    <x v="207"/>
    <x v="1"/>
    <x v="1"/>
    <x v="0"/>
    <x v="2"/>
  </r>
  <r>
    <x v="17"/>
    <x v="5"/>
    <x v="208"/>
    <x v="7"/>
    <x v="19"/>
    <x v="0"/>
    <x v="2"/>
  </r>
  <r>
    <x v="17"/>
    <x v="5"/>
    <x v="8"/>
    <x v="5"/>
    <x v="9"/>
    <x v="0"/>
    <x v="2"/>
  </r>
  <r>
    <x v="17"/>
    <x v="5"/>
    <x v="0"/>
    <x v="0"/>
    <x v="0"/>
    <x v="0"/>
    <x v="2"/>
  </r>
  <r>
    <x v="17"/>
    <x v="5"/>
    <x v="2"/>
    <x v="1"/>
    <x v="19"/>
    <x v="0"/>
    <x v="2"/>
  </r>
  <r>
    <x v="17"/>
    <x v="5"/>
    <x v="2"/>
    <x v="1"/>
    <x v="19"/>
    <x v="0"/>
    <x v="2"/>
  </r>
  <r>
    <x v="17"/>
    <x v="5"/>
    <x v="2"/>
    <x v="1"/>
    <x v="7"/>
    <x v="0"/>
    <x v="2"/>
  </r>
  <r>
    <x v="17"/>
    <x v="5"/>
    <x v="209"/>
    <x v="6"/>
    <x v="47"/>
    <x v="0"/>
    <x v="2"/>
  </r>
  <r>
    <x v="17"/>
    <x v="5"/>
    <x v="93"/>
    <x v="1"/>
    <x v="26"/>
    <x v="0"/>
    <x v="2"/>
  </r>
  <r>
    <x v="17"/>
    <x v="5"/>
    <x v="210"/>
    <x v="4"/>
    <x v="15"/>
    <x v="0"/>
    <x v="2"/>
  </r>
  <r>
    <x v="17"/>
    <x v="5"/>
    <x v="8"/>
    <x v="5"/>
    <x v="9"/>
    <x v="0"/>
    <x v="2"/>
  </r>
  <r>
    <x v="17"/>
    <x v="5"/>
    <x v="211"/>
    <x v="13"/>
    <x v="8"/>
    <x v="0"/>
    <x v="2"/>
  </r>
  <r>
    <x v="17"/>
    <x v="5"/>
    <x v="31"/>
    <x v="0"/>
    <x v="19"/>
    <x v="0"/>
    <x v="2"/>
  </r>
  <r>
    <x v="17"/>
    <x v="5"/>
    <x v="73"/>
    <x v="9"/>
    <x v="2"/>
    <x v="0"/>
    <x v="2"/>
  </r>
  <r>
    <x v="17"/>
    <x v="5"/>
    <x v="93"/>
    <x v="1"/>
    <x v="15"/>
    <x v="0"/>
    <x v="2"/>
  </r>
  <r>
    <x v="17"/>
    <x v="5"/>
    <x v="8"/>
    <x v="5"/>
    <x v="9"/>
    <x v="0"/>
    <x v="2"/>
  </r>
  <r>
    <x v="17"/>
    <x v="5"/>
    <x v="8"/>
    <x v="5"/>
    <x v="9"/>
    <x v="0"/>
    <x v="2"/>
  </r>
  <r>
    <x v="17"/>
    <x v="5"/>
    <x v="2"/>
    <x v="1"/>
    <x v="77"/>
    <x v="0"/>
    <x v="2"/>
  </r>
  <r>
    <x v="17"/>
    <x v="5"/>
    <x v="26"/>
    <x v="11"/>
    <x v="20"/>
    <x v="0"/>
    <x v="2"/>
  </r>
  <r>
    <x v="17"/>
    <x v="5"/>
    <x v="176"/>
    <x v="7"/>
    <x v="19"/>
    <x v="0"/>
    <x v="2"/>
  </r>
  <r>
    <x v="17"/>
    <x v="5"/>
    <x v="212"/>
    <x v="4"/>
    <x v="8"/>
    <x v="0"/>
    <x v="2"/>
  </r>
  <r>
    <x v="17"/>
    <x v="5"/>
    <x v="8"/>
    <x v="5"/>
    <x v="2"/>
    <x v="0"/>
    <x v="2"/>
  </r>
  <r>
    <x v="17"/>
    <x v="5"/>
    <x v="31"/>
    <x v="0"/>
    <x v="19"/>
    <x v="0"/>
    <x v="2"/>
  </r>
  <r>
    <x v="17"/>
    <x v="5"/>
    <x v="213"/>
    <x v="1"/>
    <x v="9"/>
    <x v="0"/>
    <x v="2"/>
  </r>
  <r>
    <x v="17"/>
    <x v="5"/>
    <x v="214"/>
    <x v="1"/>
    <x v="6"/>
    <x v="0"/>
    <x v="2"/>
  </r>
  <r>
    <x v="17"/>
    <x v="5"/>
    <x v="215"/>
    <x v="1"/>
    <x v="29"/>
    <x v="0"/>
    <x v="2"/>
  </r>
  <r>
    <x v="17"/>
    <x v="5"/>
    <x v="216"/>
    <x v="1"/>
    <x v="15"/>
    <x v="0"/>
    <x v="2"/>
  </r>
  <r>
    <x v="17"/>
    <x v="5"/>
    <x v="217"/>
    <x v="1"/>
    <x v="28"/>
    <x v="0"/>
    <x v="2"/>
  </r>
  <r>
    <x v="17"/>
    <x v="5"/>
    <x v="218"/>
    <x v="8"/>
    <x v="15"/>
    <x v="0"/>
    <x v="2"/>
  </r>
  <r>
    <x v="17"/>
    <x v="5"/>
    <x v="31"/>
    <x v="0"/>
    <x v="18"/>
    <x v="0"/>
    <x v="2"/>
  </r>
  <r>
    <x v="17"/>
    <x v="5"/>
    <x v="219"/>
    <x v="2"/>
    <x v="15"/>
    <x v="0"/>
    <x v="2"/>
  </r>
  <r>
    <x v="17"/>
    <x v="5"/>
    <x v="8"/>
    <x v="5"/>
    <x v="9"/>
    <x v="0"/>
    <x v="2"/>
  </r>
  <r>
    <x v="17"/>
    <x v="5"/>
    <x v="2"/>
    <x v="1"/>
    <x v="28"/>
    <x v="0"/>
    <x v="2"/>
  </r>
  <r>
    <x v="17"/>
    <x v="5"/>
    <x v="220"/>
    <x v="1"/>
    <x v="46"/>
    <x v="0"/>
    <x v="2"/>
  </r>
  <r>
    <x v="18"/>
    <x v="0"/>
    <x v="2"/>
    <x v="1"/>
    <x v="10"/>
    <x v="1"/>
    <x v="3"/>
  </r>
  <r>
    <x v="18"/>
    <x v="0"/>
    <x v="176"/>
    <x v="7"/>
    <x v="1"/>
    <x v="1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39">
  <r>
    <x v="0"/>
    <x v="0"/>
    <x v="0"/>
    <x v="0"/>
    <x v="0"/>
    <x v="0"/>
    <x v="0"/>
  </r>
  <r>
    <x v="0"/>
    <x v="0"/>
    <x v="1"/>
    <x v="0"/>
    <x v="1"/>
    <x v="0"/>
    <x v="0"/>
  </r>
  <r>
    <x v="0"/>
    <x v="0"/>
    <x v="0"/>
    <x v="0"/>
    <x v="1"/>
    <x v="0"/>
    <x v="0"/>
  </r>
  <r>
    <x v="0"/>
    <x v="0"/>
    <x v="2"/>
    <x v="1"/>
    <x v="2"/>
    <x v="0"/>
    <x v="0"/>
  </r>
  <r>
    <x v="0"/>
    <x v="0"/>
    <x v="2"/>
    <x v="1"/>
    <x v="3"/>
    <x v="0"/>
    <x v="0"/>
  </r>
  <r>
    <x v="0"/>
    <x v="0"/>
    <x v="3"/>
    <x v="0"/>
    <x v="4"/>
    <x v="0"/>
    <x v="0"/>
  </r>
  <r>
    <x v="0"/>
    <x v="0"/>
    <x v="4"/>
    <x v="2"/>
    <x v="5"/>
    <x v="0"/>
    <x v="0"/>
  </r>
  <r>
    <x v="0"/>
    <x v="0"/>
    <x v="2"/>
    <x v="1"/>
    <x v="6"/>
    <x v="0"/>
    <x v="0"/>
  </r>
  <r>
    <x v="0"/>
    <x v="0"/>
    <x v="5"/>
    <x v="3"/>
    <x v="7"/>
    <x v="0"/>
    <x v="0"/>
  </r>
  <r>
    <x v="0"/>
    <x v="0"/>
    <x v="6"/>
    <x v="2"/>
    <x v="7"/>
    <x v="0"/>
    <x v="0"/>
  </r>
  <r>
    <x v="0"/>
    <x v="0"/>
    <x v="7"/>
    <x v="1"/>
    <x v="8"/>
    <x v="0"/>
    <x v="0"/>
  </r>
  <r>
    <x v="0"/>
    <x v="0"/>
    <x v="8"/>
    <x v="4"/>
    <x v="9"/>
    <x v="0"/>
    <x v="0"/>
  </r>
  <r>
    <x v="0"/>
    <x v="0"/>
    <x v="9"/>
    <x v="5"/>
    <x v="10"/>
    <x v="0"/>
    <x v="0"/>
  </r>
  <r>
    <x v="0"/>
    <x v="0"/>
    <x v="10"/>
    <x v="1"/>
    <x v="7"/>
    <x v="0"/>
    <x v="0"/>
  </r>
  <r>
    <x v="0"/>
    <x v="0"/>
    <x v="11"/>
    <x v="0"/>
    <x v="11"/>
    <x v="0"/>
    <x v="0"/>
  </r>
  <r>
    <x v="0"/>
    <x v="0"/>
    <x v="9"/>
    <x v="5"/>
    <x v="10"/>
    <x v="0"/>
    <x v="0"/>
  </r>
  <r>
    <x v="0"/>
    <x v="0"/>
    <x v="12"/>
    <x v="6"/>
    <x v="1"/>
    <x v="0"/>
    <x v="0"/>
  </r>
  <r>
    <x v="0"/>
    <x v="0"/>
    <x v="2"/>
    <x v="1"/>
    <x v="9"/>
    <x v="0"/>
    <x v="0"/>
  </r>
  <r>
    <x v="0"/>
    <x v="0"/>
    <x v="13"/>
    <x v="0"/>
    <x v="12"/>
    <x v="0"/>
    <x v="0"/>
  </r>
  <r>
    <x v="0"/>
    <x v="0"/>
    <x v="14"/>
    <x v="2"/>
    <x v="13"/>
    <x v="0"/>
    <x v="0"/>
  </r>
  <r>
    <x v="0"/>
    <x v="0"/>
    <x v="2"/>
    <x v="1"/>
    <x v="1"/>
    <x v="0"/>
    <x v="0"/>
  </r>
  <r>
    <x v="0"/>
    <x v="0"/>
    <x v="2"/>
    <x v="1"/>
    <x v="1"/>
    <x v="0"/>
    <x v="0"/>
  </r>
  <r>
    <x v="0"/>
    <x v="0"/>
    <x v="15"/>
    <x v="6"/>
    <x v="2"/>
    <x v="0"/>
    <x v="0"/>
  </r>
  <r>
    <x v="0"/>
    <x v="0"/>
    <x v="16"/>
    <x v="0"/>
    <x v="14"/>
    <x v="0"/>
    <x v="0"/>
  </r>
  <r>
    <x v="0"/>
    <x v="0"/>
    <x v="17"/>
    <x v="7"/>
    <x v="9"/>
    <x v="0"/>
    <x v="0"/>
  </r>
  <r>
    <x v="0"/>
    <x v="0"/>
    <x v="2"/>
    <x v="1"/>
    <x v="6"/>
    <x v="0"/>
    <x v="0"/>
  </r>
  <r>
    <x v="0"/>
    <x v="0"/>
    <x v="0"/>
    <x v="0"/>
    <x v="1"/>
    <x v="0"/>
    <x v="0"/>
  </r>
  <r>
    <x v="0"/>
    <x v="0"/>
    <x v="18"/>
    <x v="8"/>
    <x v="15"/>
    <x v="0"/>
    <x v="0"/>
  </r>
  <r>
    <x v="0"/>
    <x v="0"/>
    <x v="19"/>
    <x v="7"/>
    <x v="8"/>
    <x v="0"/>
    <x v="0"/>
  </r>
  <r>
    <x v="0"/>
    <x v="0"/>
    <x v="2"/>
    <x v="1"/>
    <x v="2"/>
    <x v="0"/>
    <x v="0"/>
  </r>
  <r>
    <x v="0"/>
    <x v="0"/>
    <x v="8"/>
    <x v="4"/>
    <x v="9"/>
    <x v="0"/>
    <x v="0"/>
  </r>
  <r>
    <x v="0"/>
    <x v="0"/>
    <x v="20"/>
    <x v="0"/>
    <x v="16"/>
    <x v="0"/>
    <x v="0"/>
  </r>
  <r>
    <x v="0"/>
    <x v="0"/>
    <x v="2"/>
    <x v="1"/>
    <x v="17"/>
    <x v="0"/>
    <x v="0"/>
  </r>
  <r>
    <x v="0"/>
    <x v="0"/>
    <x v="2"/>
    <x v="1"/>
    <x v="1"/>
    <x v="0"/>
    <x v="0"/>
  </r>
  <r>
    <x v="0"/>
    <x v="0"/>
    <x v="21"/>
    <x v="7"/>
    <x v="7"/>
    <x v="0"/>
    <x v="0"/>
  </r>
  <r>
    <x v="0"/>
    <x v="0"/>
    <x v="2"/>
    <x v="1"/>
    <x v="18"/>
    <x v="0"/>
    <x v="0"/>
  </r>
  <r>
    <x v="0"/>
    <x v="0"/>
    <x v="22"/>
    <x v="9"/>
    <x v="6"/>
    <x v="0"/>
    <x v="0"/>
  </r>
  <r>
    <x v="0"/>
    <x v="0"/>
    <x v="2"/>
    <x v="1"/>
    <x v="1"/>
    <x v="0"/>
    <x v="0"/>
  </r>
  <r>
    <x v="0"/>
    <x v="0"/>
    <x v="2"/>
    <x v="1"/>
    <x v="6"/>
    <x v="0"/>
    <x v="0"/>
  </r>
  <r>
    <x v="1"/>
    <x v="1"/>
    <x v="2"/>
    <x v="1"/>
    <x v="19"/>
    <x v="0"/>
    <x v="0"/>
  </r>
  <r>
    <x v="1"/>
    <x v="1"/>
    <x v="23"/>
    <x v="7"/>
    <x v="0"/>
    <x v="0"/>
    <x v="0"/>
  </r>
  <r>
    <x v="1"/>
    <x v="1"/>
    <x v="24"/>
    <x v="10"/>
    <x v="9"/>
    <x v="0"/>
    <x v="0"/>
  </r>
  <r>
    <x v="1"/>
    <x v="1"/>
    <x v="24"/>
    <x v="10"/>
    <x v="9"/>
    <x v="0"/>
    <x v="0"/>
  </r>
  <r>
    <x v="1"/>
    <x v="1"/>
    <x v="8"/>
    <x v="4"/>
    <x v="9"/>
    <x v="0"/>
    <x v="0"/>
  </r>
  <r>
    <x v="1"/>
    <x v="1"/>
    <x v="25"/>
    <x v="1"/>
    <x v="18"/>
    <x v="0"/>
    <x v="0"/>
  </r>
  <r>
    <x v="1"/>
    <x v="1"/>
    <x v="26"/>
    <x v="11"/>
    <x v="15"/>
    <x v="0"/>
    <x v="0"/>
  </r>
  <r>
    <x v="1"/>
    <x v="1"/>
    <x v="27"/>
    <x v="0"/>
    <x v="20"/>
    <x v="0"/>
    <x v="0"/>
  </r>
  <r>
    <x v="1"/>
    <x v="1"/>
    <x v="8"/>
    <x v="4"/>
    <x v="9"/>
    <x v="0"/>
    <x v="0"/>
  </r>
  <r>
    <x v="1"/>
    <x v="1"/>
    <x v="2"/>
    <x v="1"/>
    <x v="1"/>
    <x v="0"/>
    <x v="0"/>
  </r>
  <r>
    <x v="1"/>
    <x v="1"/>
    <x v="28"/>
    <x v="12"/>
    <x v="10"/>
    <x v="0"/>
    <x v="0"/>
  </r>
  <r>
    <x v="1"/>
    <x v="1"/>
    <x v="2"/>
    <x v="1"/>
    <x v="1"/>
    <x v="0"/>
    <x v="0"/>
  </r>
  <r>
    <x v="1"/>
    <x v="1"/>
    <x v="0"/>
    <x v="0"/>
    <x v="1"/>
    <x v="0"/>
    <x v="0"/>
  </r>
  <r>
    <x v="1"/>
    <x v="1"/>
    <x v="8"/>
    <x v="4"/>
    <x v="9"/>
    <x v="0"/>
    <x v="0"/>
  </r>
  <r>
    <x v="1"/>
    <x v="1"/>
    <x v="9"/>
    <x v="5"/>
    <x v="10"/>
    <x v="0"/>
    <x v="0"/>
  </r>
  <r>
    <x v="1"/>
    <x v="1"/>
    <x v="2"/>
    <x v="1"/>
    <x v="19"/>
    <x v="0"/>
    <x v="0"/>
  </r>
  <r>
    <x v="1"/>
    <x v="1"/>
    <x v="7"/>
    <x v="13"/>
    <x v="4"/>
    <x v="0"/>
    <x v="0"/>
  </r>
  <r>
    <x v="1"/>
    <x v="1"/>
    <x v="2"/>
    <x v="1"/>
    <x v="9"/>
    <x v="0"/>
    <x v="0"/>
  </r>
  <r>
    <x v="1"/>
    <x v="1"/>
    <x v="9"/>
    <x v="5"/>
    <x v="8"/>
    <x v="0"/>
    <x v="0"/>
  </r>
  <r>
    <x v="1"/>
    <x v="1"/>
    <x v="25"/>
    <x v="1"/>
    <x v="9"/>
    <x v="0"/>
    <x v="0"/>
  </r>
  <r>
    <x v="1"/>
    <x v="1"/>
    <x v="8"/>
    <x v="4"/>
    <x v="9"/>
    <x v="0"/>
    <x v="0"/>
  </r>
  <r>
    <x v="2"/>
    <x v="2"/>
    <x v="29"/>
    <x v="3"/>
    <x v="2"/>
    <x v="0"/>
    <x v="0"/>
  </r>
  <r>
    <x v="2"/>
    <x v="2"/>
    <x v="8"/>
    <x v="4"/>
    <x v="9"/>
    <x v="0"/>
    <x v="0"/>
  </r>
  <r>
    <x v="2"/>
    <x v="2"/>
    <x v="2"/>
    <x v="1"/>
    <x v="1"/>
    <x v="0"/>
    <x v="0"/>
  </r>
  <r>
    <x v="2"/>
    <x v="2"/>
    <x v="8"/>
    <x v="4"/>
    <x v="9"/>
    <x v="0"/>
    <x v="0"/>
  </r>
  <r>
    <x v="2"/>
    <x v="2"/>
    <x v="30"/>
    <x v="1"/>
    <x v="21"/>
    <x v="0"/>
    <x v="0"/>
  </r>
  <r>
    <x v="2"/>
    <x v="2"/>
    <x v="2"/>
    <x v="1"/>
    <x v="1"/>
    <x v="0"/>
    <x v="0"/>
  </r>
  <r>
    <x v="2"/>
    <x v="2"/>
    <x v="31"/>
    <x v="0"/>
    <x v="0"/>
    <x v="0"/>
    <x v="0"/>
  </r>
  <r>
    <x v="2"/>
    <x v="2"/>
    <x v="2"/>
    <x v="1"/>
    <x v="22"/>
    <x v="0"/>
    <x v="0"/>
  </r>
  <r>
    <x v="2"/>
    <x v="2"/>
    <x v="8"/>
    <x v="4"/>
    <x v="18"/>
    <x v="0"/>
    <x v="0"/>
  </r>
  <r>
    <x v="2"/>
    <x v="2"/>
    <x v="2"/>
    <x v="1"/>
    <x v="1"/>
    <x v="0"/>
    <x v="0"/>
  </r>
  <r>
    <x v="2"/>
    <x v="2"/>
    <x v="32"/>
    <x v="12"/>
    <x v="10"/>
    <x v="0"/>
    <x v="0"/>
  </r>
  <r>
    <x v="2"/>
    <x v="2"/>
    <x v="33"/>
    <x v="14"/>
    <x v="15"/>
    <x v="0"/>
    <x v="0"/>
  </r>
  <r>
    <x v="2"/>
    <x v="2"/>
    <x v="2"/>
    <x v="1"/>
    <x v="6"/>
    <x v="0"/>
    <x v="0"/>
  </r>
  <r>
    <x v="2"/>
    <x v="2"/>
    <x v="2"/>
    <x v="1"/>
    <x v="1"/>
    <x v="0"/>
    <x v="0"/>
  </r>
  <r>
    <x v="2"/>
    <x v="2"/>
    <x v="8"/>
    <x v="4"/>
    <x v="9"/>
    <x v="0"/>
    <x v="0"/>
  </r>
  <r>
    <x v="2"/>
    <x v="2"/>
    <x v="0"/>
    <x v="0"/>
    <x v="19"/>
    <x v="0"/>
    <x v="0"/>
  </r>
  <r>
    <x v="2"/>
    <x v="2"/>
    <x v="2"/>
    <x v="1"/>
    <x v="1"/>
    <x v="0"/>
    <x v="0"/>
  </r>
  <r>
    <x v="3"/>
    <x v="3"/>
    <x v="34"/>
    <x v="0"/>
    <x v="4"/>
    <x v="0"/>
    <x v="0"/>
  </r>
  <r>
    <x v="3"/>
    <x v="3"/>
    <x v="35"/>
    <x v="1"/>
    <x v="23"/>
    <x v="0"/>
    <x v="0"/>
  </r>
  <r>
    <x v="3"/>
    <x v="3"/>
    <x v="0"/>
    <x v="0"/>
    <x v="19"/>
    <x v="0"/>
    <x v="0"/>
  </r>
  <r>
    <x v="3"/>
    <x v="3"/>
    <x v="2"/>
    <x v="1"/>
    <x v="18"/>
    <x v="0"/>
    <x v="0"/>
  </r>
  <r>
    <x v="3"/>
    <x v="3"/>
    <x v="36"/>
    <x v="8"/>
    <x v="1"/>
    <x v="0"/>
    <x v="0"/>
  </r>
  <r>
    <x v="3"/>
    <x v="3"/>
    <x v="37"/>
    <x v="5"/>
    <x v="23"/>
    <x v="0"/>
    <x v="0"/>
  </r>
  <r>
    <x v="3"/>
    <x v="3"/>
    <x v="2"/>
    <x v="1"/>
    <x v="1"/>
    <x v="0"/>
    <x v="0"/>
  </r>
  <r>
    <x v="3"/>
    <x v="3"/>
    <x v="0"/>
    <x v="0"/>
    <x v="1"/>
    <x v="0"/>
    <x v="0"/>
  </r>
  <r>
    <x v="3"/>
    <x v="3"/>
    <x v="38"/>
    <x v="10"/>
    <x v="24"/>
    <x v="0"/>
    <x v="0"/>
  </r>
  <r>
    <x v="3"/>
    <x v="3"/>
    <x v="39"/>
    <x v="1"/>
    <x v="25"/>
    <x v="0"/>
    <x v="0"/>
  </r>
  <r>
    <x v="3"/>
    <x v="3"/>
    <x v="40"/>
    <x v="14"/>
    <x v="8"/>
    <x v="0"/>
    <x v="0"/>
  </r>
  <r>
    <x v="3"/>
    <x v="3"/>
    <x v="41"/>
    <x v="0"/>
    <x v="15"/>
    <x v="0"/>
    <x v="0"/>
  </r>
  <r>
    <x v="3"/>
    <x v="3"/>
    <x v="2"/>
    <x v="1"/>
    <x v="8"/>
    <x v="0"/>
    <x v="0"/>
  </r>
  <r>
    <x v="3"/>
    <x v="3"/>
    <x v="2"/>
    <x v="1"/>
    <x v="1"/>
    <x v="0"/>
    <x v="0"/>
  </r>
  <r>
    <x v="3"/>
    <x v="3"/>
    <x v="2"/>
    <x v="1"/>
    <x v="9"/>
    <x v="0"/>
    <x v="0"/>
  </r>
  <r>
    <x v="3"/>
    <x v="3"/>
    <x v="8"/>
    <x v="4"/>
    <x v="9"/>
    <x v="0"/>
    <x v="0"/>
  </r>
  <r>
    <x v="3"/>
    <x v="3"/>
    <x v="42"/>
    <x v="0"/>
    <x v="26"/>
    <x v="0"/>
    <x v="0"/>
  </r>
  <r>
    <x v="3"/>
    <x v="3"/>
    <x v="2"/>
    <x v="1"/>
    <x v="1"/>
    <x v="0"/>
    <x v="0"/>
  </r>
  <r>
    <x v="3"/>
    <x v="3"/>
    <x v="31"/>
    <x v="0"/>
    <x v="19"/>
    <x v="0"/>
    <x v="0"/>
  </r>
  <r>
    <x v="3"/>
    <x v="3"/>
    <x v="2"/>
    <x v="1"/>
    <x v="15"/>
    <x v="0"/>
    <x v="0"/>
  </r>
  <r>
    <x v="3"/>
    <x v="3"/>
    <x v="43"/>
    <x v="7"/>
    <x v="9"/>
    <x v="0"/>
    <x v="0"/>
  </r>
  <r>
    <x v="4"/>
    <x v="4"/>
    <x v="44"/>
    <x v="5"/>
    <x v="10"/>
    <x v="0"/>
    <x v="0"/>
  </r>
  <r>
    <x v="4"/>
    <x v="4"/>
    <x v="45"/>
    <x v="7"/>
    <x v="9"/>
    <x v="0"/>
    <x v="0"/>
  </r>
  <r>
    <x v="4"/>
    <x v="4"/>
    <x v="8"/>
    <x v="4"/>
    <x v="9"/>
    <x v="0"/>
    <x v="0"/>
  </r>
  <r>
    <x v="4"/>
    <x v="4"/>
    <x v="8"/>
    <x v="4"/>
    <x v="9"/>
    <x v="0"/>
    <x v="0"/>
  </r>
  <r>
    <x v="4"/>
    <x v="4"/>
    <x v="2"/>
    <x v="1"/>
    <x v="27"/>
    <x v="0"/>
    <x v="0"/>
  </r>
  <r>
    <x v="4"/>
    <x v="4"/>
    <x v="46"/>
    <x v="5"/>
    <x v="9"/>
    <x v="0"/>
    <x v="0"/>
  </r>
  <r>
    <x v="4"/>
    <x v="4"/>
    <x v="31"/>
    <x v="0"/>
    <x v="0"/>
    <x v="0"/>
    <x v="0"/>
  </r>
  <r>
    <x v="4"/>
    <x v="4"/>
    <x v="2"/>
    <x v="1"/>
    <x v="2"/>
    <x v="0"/>
    <x v="0"/>
  </r>
  <r>
    <x v="4"/>
    <x v="4"/>
    <x v="47"/>
    <x v="7"/>
    <x v="28"/>
    <x v="0"/>
    <x v="0"/>
  </r>
  <r>
    <x v="4"/>
    <x v="4"/>
    <x v="48"/>
    <x v="9"/>
    <x v="18"/>
    <x v="0"/>
    <x v="0"/>
  </r>
  <r>
    <x v="4"/>
    <x v="4"/>
    <x v="49"/>
    <x v="1"/>
    <x v="8"/>
    <x v="0"/>
    <x v="0"/>
  </r>
  <r>
    <x v="4"/>
    <x v="4"/>
    <x v="50"/>
    <x v="1"/>
    <x v="15"/>
    <x v="0"/>
    <x v="0"/>
  </r>
  <r>
    <x v="4"/>
    <x v="4"/>
    <x v="2"/>
    <x v="1"/>
    <x v="1"/>
    <x v="0"/>
    <x v="0"/>
  </r>
  <r>
    <x v="4"/>
    <x v="4"/>
    <x v="51"/>
    <x v="7"/>
    <x v="15"/>
    <x v="0"/>
    <x v="0"/>
  </r>
  <r>
    <x v="4"/>
    <x v="4"/>
    <x v="52"/>
    <x v="1"/>
    <x v="29"/>
    <x v="0"/>
    <x v="0"/>
  </r>
  <r>
    <x v="4"/>
    <x v="4"/>
    <x v="2"/>
    <x v="1"/>
    <x v="1"/>
    <x v="0"/>
    <x v="0"/>
  </r>
  <r>
    <x v="4"/>
    <x v="4"/>
    <x v="2"/>
    <x v="1"/>
    <x v="1"/>
    <x v="0"/>
    <x v="0"/>
  </r>
  <r>
    <x v="4"/>
    <x v="4"/>
    <x v="2"/>
    <x v="1"/>
    <x v="6"/>
    <x v="0"/>
    <x v="0"/>
  </r>
  <r>
    <x v="4"/>
    <x v="4"/>
    <x v="2"/>
    <x v="1"/>
    <x v="3"/>
    <x v="0"/>
    <x v="0"/>
  </r>
  <r>
    <x v="4"/>
    <x v="4"/>
    <x v="53"/>
    <x v="0"/>
    <x v="1"/>
    <x v="0"/>
    <x v="0"/>
  </r>
  <r>
    <x v="4"/>
    <x v="4"/>
    <x v="54"/>
    <x v="1"/>
    <x v="1"/>
    <x v="0"/>
    <x v="0"/>
  </r>
  <r>
    <x v="4"/>
    <x v="4"/>
    <x v="55"/>
    <x v="1"/>
    <x v="2"/>
    <x v="0"/>
    <x v="0"/>
  </r>
  <r>
    <x v="4"/>
    <x v="4"/>
    <x v="2"/>
    <x v="1"/>
    <x v="15"/>
    <x v="0"/>
    <x v="0"/>
  </r>
  <r>
    <x v="4"/>
    <x v="4"/>
    <x v="56"/>
    <x v="1"/>
    <x v="30"/>
    <x v="0"/>
    <x v="0"/>
  </r>
  <r>
    <x v="4"/>
    <x v="4"/>
    <x v="57"/>
    <x v="1"/>
    <x v="31"/>
    <x v="0"/>
    <x v="0"/>
  </r>
  <r>
    <x v="4"/>
    <x v="4"/>
    <x v="35"/>
    <x v="1"/>
    <x v="32"/>
    <x v="0"/>
    <x v="0"/>
  </r>
  <r>
    <x v="4"/>
    <x v="4"/>
    <x v="58"/>
    <x v="4"/>
    <x v="3"/>
    <x v="0"/>
    <x v="0"/>
  </r>
  <r>
    <x v="4"/>
    <x v="4"/>
    <x v="2"/>
    <x v="1"/>
    <x v="17"/>
    <x v="0"/>
    <x v="0"/>
  </r>
  <r>
    <x v="4"/>
    <x v="4"/>
    <x v="59"/>
    <x v="14"/>
    <x v="8"/>
    <x v="0"/>
    <x v="0"/>
  </r>
  <r>
    <x v="4"/>
    <x v="4"/>
    <x v="60"/>
    <x v="7"/>
    <x v="25"/>
    <x v="0"/>
    <x v="0"/>
  </r>
  <r>
    <x v="4"/>
    <x v="4"/>
    <x v="2"/>
    <x v="1"/>
    <x v="1"/>
    <x v="0"/>
    <x v="0"/>
  </r>
  <r>
    <x v="4"/>
    <x v="4"/>
    <x v="8"/>
    <x v="4"/>
    <x v="9"/>
    <x v="0"/>
    <x v="0"/>
  </r>
  <r>
    <x v="4"/>
    <x v="4"/>
    <x v="2"/>
    <x v="1"/>
    <x v="6"/>
    <x v="0"/>
    <x v="0"/>
  </r>
  <r>
    <x v="5"/>
    <x v="5"/>
    <x v="61"/>
    <x v="1"/>
    <x v="25"/>
    <x v="0"/>
    <x v="0"/>
  </r>
  <r>
    <x v="5"/>
    <x v="5"/>
    <x v="62"/>
    <x v="1"/>
    <x v="19"/>
    <x v="0"/>
    <x v="0"/>
  </r>
  <r>
    <x v="5"/>
    <x v="5"/>
    <x v="63"/>
    <x v="2"/>
    <x v="27"/>
    <x v="0"/>
    <x v="0"/>
  </r>
  <r>
    <x v="5"/>
    <x v="5"/>
    <x v="64"/>
    <x v="1"/>
    <x v="0"/>
    <x v="0"/>
    <x v="0"/>
  </r>
  <r>
    <x v="5"/>
    <x v="5"/>
    <x v="62"/>
    <x v="1"/>
    <x v="1"/>
    <x v="0"/>
    <x v="0"/>
  </r>
  <r>
    <x v="5"/>
    <x v="5"/>
    <x v="65"/>
    <x v="6"/>
    <x v="33"/>
    <x v="0"/>
    <x v="0"/>
  </r>
  <r>
    <x v="5"/>
    <x v="5"/>
    <x v="66"/>
    <x v="1"/>
    <x v="1"/>
    <x v="0"/>
    <x v="0"/>
  </r>
  <r>
    <x v="5"/>
    <x v="5"/>
    <x v="62"/>
    <x v="1"/>
    <x v="19"/>
    <x v="0"/>
    <x v="0"/>
  </r>
  <r>
    <x v="5"/>
    <x v="5"/>
    <x v="67"/>
    <x v="9"/>
    <x v="34"/>
    <x v="0"/>
    <x v="0"/>
  </r>
  <r>
    <x v="5"/>
    <x v="5"/>
    <x v="2"/>
    <x v="1"/>
    <x v="1"/>
    <x v="0"/>
    <x v="0"/>
  </r>
  <r>
    <x v="5"/>
    <x v="5"/>
    <x v="68"/>
    <x v="0"/>
    <x v="1"/>
    <x v="0"/>
    <x v="0"/>
  </r>
  <r>
    <x v="5"/>
    <x v="5"/>
    <x v="62"/>
    <x v="1"/>
    <x v="1"/>
    <x v="0"/>
    <x v="0"/>
  </r>
  <r>
    <x v="5"/>
    <x v="5"/>
    <x v="69"/>
    <x v="7"/>
    <x v="35"/>
    <x v="0"/>
    <x v="0"/>
  </r>
  <r>
    <x v="5"/>
    <x v="5"/>
    <x v="70"/>
    <x v="7"/>
    <x v="19"/>
    <x v="0"/>
    <x v="0"/>
  </r>
  <r>
    <x v="5"/>
    <x v="5"/>
    <x v="71"/>
    <x v="1"/>
    <x v="36"/>
    <x v="0"/>
    <x v="0"/>
  </r>
  <r>
    <x v="5"/>
    <x v="5"/>
    <x v="72"/>
    <x v="1"/>
    <x v="19"/>
    <x v="0"/>
    <x v="0"/>
  </r>
  <r>
    <x v="5"/>
    <x v="5"/>
    <x v="2"/>
    <x v="1"/>
    <x v="3"/>
    <x v="0"/>
    <x v="0"/>
  </r>
  <r>
    <x v="5"/>
    <x v="5"/>
    <x v="2"/>
    <x v="1"/>
    <x v="7"/>
    <x v="0"/>
    <x v="0"/>
  </r>
  <r>
    <x v="5"/>
    <x v="5"/>
    <x v="31"/>
    <x v="0"/>
    <x v="0"/>
    <x v="0"/>
    <x v="0"/>
  </r>
  <r>
    <x v="5"/>
    <x v="5"/>
    <x v="8"/>
    <x v="4"/>
    <x v="9"/>
    <x v="0"/>
    <x v="0"/>
  </r>
  <r>
    <x v="5"/>
    <x v="5"/>
    <x v="73"/>
    <x v="7"/>
    <x v="33"/>
    <x v="0"/>
    <x v="0"/>
  </r>
  <r>
    <x v="5"/>
    <x v="5"/>
    <x v="9"/>
    <x v="5"/>
    <x v="10"/>
    <x v="0"/>
    <x v="0"/>
  </r>
  <r>
    <x v="5"/>
    <x v="5"/>
    <x v="2"/>
    <x v="1"/>
    <x v="1"/>
    <x v="0"/>
    <x v="0"/>
  </r>
  <r>
    <x v="5"/>
    <x v="5"/>
    <x v="74"/>
    <x v="1"/>
    <x v="37"/>
    <x v="0"/>
    <x v="0"/>
  </r>
  <r>
    <x v="5"/>
    <x v="5"/>
    <x v="2"/>
    <x v="1"/>
    <x v="38"/>
    <x v="0"/>
    <x v="0"/>
  </r>
  <r>
    <x v="5"/>
    <x v="5"/>
    <x v="2"/>
    <x v="1"/>
    <x v="33"/>
    <x v="0"/>
    <x v="0"/>
  </r>
  <r>
    <x v="5"/>
    <x v="5"/>
    <x v="1"/>
    <x v="0"/>
    <x v="19"/>
    <x v="0"/>
    <x v="0"/>
  </r>
  <r>
    <x v="5"/>
    <x v="5"/>
    <x v="2"/>
    <x v="1"/>
    <x v="7"/>
    <x v="0"/>
    <x v="0"/>
  </r>
  <r>
    <x v="5"/>
    <x v="5"/>
    <x v="8"/>
    <x v="4"/>
    <x v="9"/>
    <x v="0"/>
    <x v="0"/>
  </r>
  <r>
    <x v="5"/>
    <x v="5"/>
    <x v="18"/>
    <x v="8"/>
    <x v="9"/>
    <x v="0"/>
    <x v="0"/>
  </r>
  <r>
    <x v="5"/>
    <x v="5"/>
    <x v="75"/>
    <x v="7"/>
    <x v="9"/>
    <x v="0"/>
    <x v="0"/>
  </r>
  <r>
    <x v="5"/>
    <x v="5"/>
    <x v="2"/>
    <x v="1"/>
    <x v="19"/>
    <x v="0"/>
    <x v="0"/>
  </r>
  <r>
    <x v="6"/>
    <x v="0"/>
    <x v="76"/>
    <x v="6"/>
    <x v="1"/>
    <x v="0"/>
    <x v="1"/>
  </r>
  <r>
    <x v="6"/>
    <x v="0"/>
    <x v="12"/>
    <x v="6"/>
    <x v="19"/>
    <x v="0"/>
    <x v="1"/>
  </r>
  <r>
    <x v="6"/>
    <x v="0"/>
    <x v="12"/>
    <x v="6"/>
    <x v="18"/>
    <x v="0"/>
    <x v="1"/>
  </r>
  <r>
    <x v="6"/>
    <x v="0"/>
    <x v="77"/>
    <x v="1"/>
    <x v="18"/>
    <x v="0"/>
    <x v="1"/>
  </r>
  <r>
    <x v="6"/>
    <x v="0"/>
    <x v="31"/>
    <x v="0"/>
    <x v="0"/>
    <x v="0"/>
    <x v="1"/>
  </r>
  <r>
    <x v="6"/>
    <x v="0"/>
    <x v="2"/>
    <x v="1"/>
    <x v="1"/>
    <x v="0"/>
    <x v="1"/>
  </r>
  <r>
    <x v="6"/>
    <x v="0"/>
    <x v="78"/>
    <x v="8"/>
    <x v="15"/>
    <x v="0"/>
    <x v="1"/>
  </r>
  <r>
    <x v="6"/>
    <x v="0"/>
    <x v="79"/>
    <x v="7"/>
    <x v="1"/>
    <x v="0"/>
    <x v="1"/>
  </r>
  <r>
    <x v="6"/>
    <x v="0"/>
    <x v="8"/>
    <x v="4"/>
    <x v="9"/>
    <x v="0"/>
    <x v="1"/>
  </r>
  <r>
    <x v="6"/>
    <x v="0"/>
    <x v="2"/>
    <x v="1"/>
    <x v="9"/>
    <x v="0"/>
    <x v="1"/>
  </r>
  <r>
    <x v="6"/>
    <x v="0"/>
    <x v="80"/>
    <x v="1"/>
    <x v="9"/>
    <x v="0"/>
    <x v="1"/>
  </r>
  <r>
    <x v="6"/>
    <x v="0"/>
    <x v="2"/>
    <x v="1"/>
    <x v="18"/>
    <x v="0"/>
    <x v="1"/>
  </r>
  <r>
    <x v="6"/>
    <x v="0"/>
    <x v="8"/>
    <x v="4"/>
    <x v="9"/>
    <x v="0"/>
    <x v="1"/>
  </r>
  <r>
    <x v="6"/>
    <x v="0"/>
    <x v="2"/>
    <x v="1"/>
    <x v="19"/>
    <x v="0"/>
    <x v="1"/>
  </r>
  <r>
    <x v="6"/>
    <x v="0"/>
    <x v="81"/>
    <x v="0"/>
    <x v="3"/>
    <x v="0"/>
    <x v="1"/>
  </r>
  <r>
    <x v="6"/>
    <x v="0"/>
    <x v="8"/>
    <x v="4"/>
    <x v="9"/>
    <x v="0"/>
    <x v="1"/>
  </r>
  <r>
    <x v="6"/>
    <x v="0"/>
    <x v="35"/>
    <x v="1"/>
    <x v="18"/>
    <x v="0"/>
    <x v="1"/>
  </r>
  <r>
    <x v="6"/>
    <x v="0"/>
    <x v="1"/>
    <x v="0"/>
    <x v="19"/>
    <x v="0"/>
    <x v="1"/>
  </r>
  <r>
    <x v="6"/>
    <x v="0"/>
    <x v="31"/>
    <x v="0"/>
    <x v="0"/>
    <x v="0"/>
    <x v="1"/>
  </r>
  <r>
    <x v="6"/>
    <x v="0"/>
    <x v="8"/>
    <x v="4"/>
    <x v="9"/>
    <x v="0"/>
    <x v="1"/>
  </r>
  <r>
    <x v="6"/>
    <x v="0"/>
    <x v="82"/>
    <x v="1"/>
    <x v="37"/>
    <x v="0"/>
    <x v="1"/>
  </r>
  <r>
    <x v="6"/>
    <x v="0"/>
    <x v="8"/>
    <x v="4"/>
    <x v="9"/>
    <x v="0"/>
    <x v="1"/>
  </r>
  <r>
    <x v="6"/>
    <x v="0"/>
    <x v="1"/>
    <x v="0"/>
    <x v="1"/>
    <x v="0"/>
    <x v="1"/>
  </r>
  <r>
    <x v="6"/>
    <x v="0"/>
    <x v="68"/>
    <x v="0"/>
    <x v="18"/>
    <x v="0"/>
    <x v="1"/>
  </r>
  <r>
    <x v="6"/>
    <x v="0"/>
    <x v="31"/>
    <x v="0"/>
    <x v="19"/>
    <x v="0"/>
    <x v="1"/>
  </r>
  <r>
    <x v="6"/>
    <x v="0"/>
    <x v="82"/>
    <x v="1"/>
    <x v="24"/>
    <x v="0"/>
    <x v="1"/>
  </r>
  <r>
    <x v="6"/>
    <x v="0"/>
    <x v="31"/>
    <x v="0"/>
    <x v="19"/>
    <x v="0"/>
    <x v="1"/>
  </r>
  <r>
    <x v="6"/>
    <x v="0"/>
    <x v="83"/>
    <x v="1"/>
    <x v="6"/>
    <x v="0"/>
    <x v="1"/>
  </r>
  <r>
    <x v="6"/>
    <x v="0"/>
    <x v="2"/>
    <x v="1"/>
    <x v="17"/>
    <x v="0"/>
    <x v="1"/>
  </r>
  <r>
    <x v="6"/>
    <x v="0"/>
    <x v="8"/>
    <x v="4"/>
    <x v="9"/>
    <x v="0"/>
    <x v="1"/>
  </r>
  <r>
    <x v="6"/>
    <x v="0"/>
    <x v="84"/>
    <x v="7"/>
    <x v="7"/>
    <x v="0"/>
    <x v="1"/>
  </r>
  <r>
    <x v="6"/>
    <x v="0"/>
    <x v="2"/>
    <x v="1"/>
    <x v="3"/>
    <x v="0"/>
    <x v="1"/>
  </r>
  <r>
    <x v="6"/>
    <x v="0"/>
    <x v="85"/>
    <x v="7"/>
    <x v="3"/>
    <x v="0"/>
    <x v="1"/>
  </r>
  <r>
    <x v="6"/>
    <x v="0"/>
    <x v="2"/>
    <x v="1"/>
    <x v="7"/>
    <x v="0"/>
    <x v="1"/>
  </r>
  <r>
    <x v="6"/>
    <x v="0"/>
    <x v="8"/>
    <x v="4"/>
    <x v="9"/>
    <x v="0"/>
    <x v="1"/>
  </r>
  <r>
    <x v="6"/>
    <x v="0"/>
    <x v="80"/>
    <x v="1"/>
    <x v="15"/>
    <x v="0"/>
    <x v="1"/>
  </r>
  <r>
    <x v="6"/>
    <x v="0"/>
    <x v="80"/>
    <x v="1"/>
    <x v="1"/>
    <x v="0"/>
    <x v="1"/>
  </r>
  <r>
    <x v="6"/>
    <x v="0"/>
    <x v="80"/>
    <x v="1"/>
    <x v="9"/>
    <x v="0"/>
    <x v="1"/>
  </r>
  <r>
    <x v="6"/>
    <x v="0"/>
    <x v="80"/>
    <x v="1"/>
    <x v="2"/>
    <x v="0"/>
    <x v="1"/>
  </r>
  <r>
    <x v="6"/>
    <x v="0"/>
    <x v="86"/>
    <x v="6"/>
    <x v="19"/>
    <x v="0"/>
    <x v="1"/>
  </r>
  <r>
    <x v="6"/>
    <x v="0"/>
    <x v="80"/>
    <x v="1"/>
    <x v="18"/>
    <x v="0"/>
    <x v="1"/>
  </r>
  <r>
    <x v="6"/>
    <x v="0"/>
    <x v="31"/>
    <x v="0"/>
    <x v="0"/>
    <x v="0"/>
    <x v="1"/>
  </r>
  <r>
    <x v="6"/>
    <x v="0"/>
    <x v="9"/>
    <x v="5"/>
    <x v="10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80"/>
    <x v="1"/>
    <x v="18"/>
    <x v="0"/>
    <x v="1"/>
  </r>
  <r>
    <x v="6"/>
    <x v="0"/>
    <x v="80"/>
    <x v="1"/>
    <x v="18"/>
    <x v="0"/>
    <x v="1"/>
  </r>
  <r>
    <x v="6"/>
    <x v="0"/>
    <x v="87"/>
    <x v="1"/>
    <x v="37"/>
    <x v="0"/>
    <x v="1"/>
  </r>
  <r>
    <x v="6"/>
    <x v="0"/>
    <x v="88"/>
    <x v="15"/>
    <x v="15"/>
    <x v="0"/>
    <x v="1"/>
  </r>
  <r>
    <x v="6"/>
    <x v="0"/>
    <x v="89"/>
    <x v="1"/>
    <x v="25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90"/>
    <x v="1"/>
    <x v="17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91"/>
    <x v="1"/>
    <x v="33"/>
    <x v="0"/>
    <x v="1"/>
  </r>
  <r>
    <x v="6"/>
    <x v="0"/>
    <x v="92"/>
    <x v="0"/>
    <x v="1"/>
    <x v="0"/>
    <x v="1"/>
  </r>
  <r>
    <x v="6"/>
    <x v="0"/>
    <x v="8"/>
    <x v="4"/>
    <x v="9"/>
    <x v="0"/>
    <x v="1"/>
  </r>
  <r>
    <x v="6"/>
    <x v="0"/>
    <x v="62"/>
    <x v="1"/>
    <x v="6"/>
    <x v="0"/>
    <x v="1"/>
  </r>
  <r>
    <x v="6"/>
    <x v="0"/>
    <x v="93"/>
    <x v="4"/>
    <x v="9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94"/>
    <x v="14"/>
    <x v="15"/>
    <x v="0"/>
    <x v="1"/>
  </r>
  <r>
    <x v="6"/>
    <x v="0"/>
    <x v="95"/>
    <x v="5"/>
    <x v="23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6"/>
    <x v="0"/>
    <x v="8"/>
    <x v="4"/>
    <x v="9"/>
    <x v="0"/>
    <x v="1"/>
  </r>
  <r>
    <x v="7"/>
    <x v="1"/>
    <x v="5"/>
    <x v="3"/>
    <x v="39"/>
    <x v="0"/>
    <x v="1"/>
  </r>
  <r>
    <x v="7"/>
    <x v="1"/>
    <x v="8"/>
    <x v="4"/>
    <x v="9"/>
    <x v="0"/>
    <x v="1"/>
  </r>
  <r>
    <x v="7"/>
    <x v="1"/>
    <x v="2"/>
    <x v="1"/>
    <x v="15"/>
    <x v="0"/>
    <x v="1"/>
  </r>
  <r>
    <x v="7"/>
    <x v="1"/>
    <x v="96"/>
    <x v="0"/>
    <x v="40"/>
    <x v="0"/>
    <x v="1"/>
  </r>
  <r>
    <x v="7"/>
    <x v="1"/>
    <x v="97"/>
    <x v="5"/>
    <x v="15"/>
    <x v="0"/>
    <x v="1"/>
  </r>
  <r>
    <x v="7"/>
    <x v="1"/>
    <x v="2"/>
    <x v="1"/>
    <x v="2"/>
    <x v="0"/>
    <x v="1"/>
  </r>
  <r>
    <x v="7"/>
    <x v="1"/>
    <x v="2"/>
    <x v="1"/>
    <x v="6"/>
    <x v="0"/>
    <x v="1"/>
  </r>
  <r>
    <x v="7"/>
    <x v="1"/>
    <x v="8"/>
    <x v="4"/>
    <x v="9"/>
    <x v="0"/>
    <x v="1"/>
  </r>
  <r>
    <x v="7"/>
    <x v="1"/>
    <x v="8"/>
    <x v="4"/>
    <x v="9"/>
    <x v="0"/>
    <x v="1"/>
  </r>
  <r>
    <x v="7"/>
    <x v="1"/>
    <x v="98"/>
    <x v="7"/>
    <x v="3"/>
    <x v="0"/>
    <x v="1"/>
  </r>
  <r>
    <x v="7"/>
    <x v="1"/>
    <x v="99"/>
    <x v="0"/>
    <x v="41"/>
    <x v="0"/>
    <x v="1"/>
  </r>
  <r>
    <x v="7"/>
    <x v="1"/>
    <x v="9"/>
    <x v="5"/>
    <x v="10"/>
    <x v="0"/>
    <x v="1"/>
  </r>
  <r>
    <x v="7"/>
    <x v="1"/>
    <x v="74"/>
    <x v="1"/>
    <x v="17"/>
    <x v="0"/>
    <x v="1"/>
  </r>
  <r>
    <x v="7"/>
    <x v="1"/>
    <x v="2"/>
    <x v="1"/>
    <x v="3"/>
    <x v="0"/>
    <x v="1"/>
  </r>
  <r>
    <x v="7"/>
    <x v="1"/>
    <x v="8"/>
    <x v="4"/>
    <x v="9"/>
    <x v="0"/>
    <x v="1"/>
  </r>
  <r>
    <x v="7"/>
    <x v="1"/>
    <x v="8"/>
    <x v="4"/>
    <x v="9"/>
    <x v="0"/>
    <x v="1"/>
  </r>
  <r>
    <x v="7"/>
    <x v="1"/>
    <x v="86"/>
    <x v="6"/>
    <x v="19"/>
    <x v="0"/>
    <x v="1"/>
  </r>
  <r>
    <x v="7"/>
    <x v="1"/>
    <x v="8"/>
    <x v="4"/>
    <x v="9"/>
    <x v="0"/>
    <x v="1"/>
  </r>
  <r>
    <x v="8"/>
    <x v="2"/>
    <x v="90"/>
    <x v="1"/>
    <x v="6"/>
    <x v="0"/>
    <x v="1"/>
  </r>
  <r>
    <x v="8"/>
    <x v="2"/>
    <x v="2"/>
    <x v="1"/>
    <x v="3"/>
    <x v="0"/>
    <x v="1"/>
  </r>
  <r>
    <x v="8"/>
    <x v="2"/>
    <x v="100"/>
    <x v="0"/>
    <x v="42"/>
    <x v="0"/>
    <x v="1"/>
  </r>
  <r>
    <x v="8"/>
    <x v="2"/>
    <x v="2"/>
    <x v="1"/>
    <x v="3"/>
    <x v="0"/>
    <x v="1"/>
  </r>
  <r>
    <x v="8"/>
    <x v="2"/>
    <x v="2"/>
    <x v="1"/>
    <x v="17"/>
    <x v="0"/>
    <x v="1"/>
  </r>
  <r>
    <x v="8"/>
    <x v="2"/>
    <x v="31"/>
    <x v="0"/>
    <x v="19"/>
    <x v="0"/>
    <x v="1"/>
  </r>
  <r>
    <x v="8"/>
    <x v="2"/>
    <x v="8"/>
    <x v="4"/>
    <x v="9"/>
    <x v="0"/>
    <x v="1"/>
  </r>
  <r>
    <x v="8"/>
    <x v="2"/>
    <x v="101"/>
    <x v="0"/>
    <x v="4"/>
    <x v="0"/>
    <x v="1"/>
  </r>
  <r>
    <x v="8"/>
    <x v="2"/>
    <x v="8"/>
    <x v="4"/>
    <x v="9"/>
    <x v="0"/>
    <x v="1"/>
  </r>
  <r>
    <x v="8"/>
    <x v="2"/>
    <x v="8"/>
    <x v="4"/>
    <x v="9"/>
    <x v="0"/>
    <x v="1"/>
  </r>
  <r>
    <x v="9"/>
    <x v="3"/>
    <x v="102"/>
    <x v="1"/>
    <x v="43"/>
    <x v="0"/>
    <x v="1"/>
  </r>
  <r>
    <x v="9"/>
    <x v="3"/>
    <x v="25"/>
    <x v="1"/>
    <x v="33"/>
    <x v="0"/>
    <x v="1"/>
  </r>
  <r>
    <x v="9"/>
    <x v="3"/>
    <x v="103"/>
    <x v="5"/>
    <x v="8"/>
    <x v="0"/>
    <x v="1"/>
  </r>
  <r>
    <x v="9"/>
    <x v="3"/>
    <x v="2"/>
    <x v="1"/>
    <x v="1"/>
    <x v="0"/>
    <x v="1"/>
  </r>
  <r>
    <x v="9"/>
    <x v="3"/>
    <x v="104"/>
    <x v="14"/>
    <x v="44"/>
    <x v="0"/>
    <x v="1"/>
  </r>
  <r>
    <x v="9"/>
    <x v="3"/>
    <x v="80"/>
    <x v="1"/>
    <x v="6"/>
    <x v="0"/>
    <x v="1"/>
  </r>
  <r>
    <x v="9"/>
    <x v="3"/>
    <x v="105"/>
    <x v="0"/>
    <x v="32"/>
    <x v="0"/>
    <x v="1"/>
  </r>
  <r>
    <x v="9"/>
    <x v="3"/>
    <x v="82"/>
    <x v="1"/>
    <x v="9"/>
    <x v="0"/>
    <x v="1"/>
  </r>
  <r>
    <x v="9"/>
    <x v="3"/>
    <x v="0"/>
    <x v="0"/>
    <x v="38"/>
    <x v="0"/>
    <x v="1"/>
  </r>
  <r>
    <x v="9"/>
    <x v="3"/>
    <x v="2"/>
    <x v="1"/>
    <x v="1"/>
    <x v="0"/>
    <x v="1"/>
  </r>
  <r>
    <x v="9"/>
    <x v="3"/>
    <x v="5"/>
    <x v="3"/>
    <x v="15"/>
    <x v="0"/>
    <x v="1"/>
  </r>
  <r>
    <x v="9"/>
    <x v="3"/>
    <x v="8"/>
    <x v="4"/>
    <x v="9"/>
    <x v="0"/>
    <x v="1"/>
  </r>
  <r>
    <x v="9"/>
    <x v="3"/>
    <x v="106"/>
    <x v="10"/>
    <x v="45"/>
    <x v="0"/>
    <x v="1"/>
  </r>
  <r>
    <x v="9"/>
    <x v="3"/>
    <x v="62"/>
    <x v="1"/>
    <x v="1"/>
    <x v="0"/>
    <x v="1"/>
  </r>
  <r>
    <x v="9"/>
    <x v="3"/>
    <x v="8"/>
    <x v="4"/>
    <x v="9"/>
    <x v="0"/>
    <x v="1"/>
  </r>
  <r>
    <x v="9"/>
    <x v="3"/>
    <x v="80"/>
    <x v="1"/>
    <x v="7"/>
    <x v="0"/>
    <x v="1"/>
  </r>
  <r>
    <x v="9"/>
    <x v="3"/>
    <x v="107"/>
    <x v="7"/>
    <x v="15"/>
    <x v="0"/>
    <x v="1"/>
  </r>
  <r>
    <x v="9"/>
    <x v="3"/>
    <x v="108"/>
    <x v="7"/>
    <x v="4"/>
    <x v="0"/>
    <x v="1"/>
  </r>
  <r>
    <x v="9"/>
    <x v="3"/>
    <x v="18"/>
    <x v="8"/>
    <x v="15"/>
    <x v="0"/>
    <x v="1"/>
  </r>
  <r>
    <x v="9"/>
    <x v="3"/>
    <x v="2"/>
    <x v="1"/>
    <x v="2"/>
    <x v="0"/>
    <x v="1"/>
  </r>
  <r>
    <x v="9"/>
    <x v="3"/>
    <x v="109"/>
    <x v="0"/>
    <x v="15"/>
    <x v="0"/>
    <x v="1"/>
  </r>
  <r>
    <x v="9"/>
    <x v="3"/>
    <x v="110"/>
    <x v="2"/>
    <x v="17"/>
    <x v="0"/>
    <x v="1"/>
  </r>
  <r>
    <x v="9"/>
    <x v="3"/>
    <x v="80"/>
    <x v="1"/>
    <x v="6"/>
    <x v="0"/>
    <x v="1"/>
  </r>
  <r>
    <x v="9"/>
    <x v="3"/>
    <x v="8"/>
    <x v="4"/>
    <x v="9"/>
    <x v="0"/>
    <x v="1"/>
  </r>
  <r>
    <x v="9"/>
    <x v="3"/>
    <x v="2"/>
    <x v="1"/>
    <x v="6"/>
    <x v="0"/>
    <x v="1"/>
  </r>
  <r>
    <x v="9"/>
    <x v="3"/>
    <x v="2"/>
    <x v="1"/>
    <x v="18"/>
    <x v="0"/>
    <x v="1"/>
  </r>
  <r>
    <x v="9"/>
    <x v="3"/>
    <x v="2"/>
    <x v="1"/>
    <x v="1"/>
    <x v="0"/>
    <x v="1"/>
  </r>
  <r>
    <x v="9"/>
    <x v="3"/>
    <x v="6"/>
    <x v="2"/>
    <x v="3"/>
    <x v="0"/>
    <x v="1"/>
  </r>
  <r>
    <x v="10"/>
    <x v="4"/>
    <x v="2"/>
    <x v="1"/>
    <x v="19"/>
    <x v="0"/>
    <x v="1"/>
  </r>
  <r>
    <x v="10"/>
    <x v="4"/>
    <x v="111"/>
    <x v="14"/>
    <x v="39"/>
    <x v="0"/>
    <x v="1"/>
  </r>
  <r>
    <x v="10"/>
    <x v="4"/>
    <x v="50"/>
    <x v="1"/>
    <x v="7"/>
    <x v="0"/>
    <x v="1"/>
  </r>
  <r>
    <x v="10"/>
    <x v="4"/>
    <x v="112"/>
    <x v="6"/>
    <x v="0"/>
    <x v="0"/>
    <x v="1"/>
  </r>
  <r>
    <x v="10"/>
    <x v="4"/>
    <x v="8"/>
    <x v="4"/>
    <x v="9"/>
    <x v="0"/>
    <x v="1"/>
  </r>
  <r>
    <x v="10"/>
    <x v="4"/>
    <x v="2"/>
    <x v="1"/>
    <x v="1"/>
    <x v="0"/>
    <x v="1"/>
  </r>
  <r>
    <x v="10"/>
    <x v="4"/>
    <x v="8"/>
    <x v="4"/>
    <x v="9"/>
    <x v="0"/>
    <x v="1"/>
  </r>
  <r>
    <x v="10"/>
    <x v="4"/>
    <x v="1"/>
    <x v="0"/>
    <x v="19"/>
    <x v="0"/>
    <x v="1"/>
  </r>
  <r>
    <x v="10"/>
    <x v="4"/>
    <x v="80"/>
    <x v="1"/>
    <x v="15"/>
    <x v="0"/>
    <x v="1"/>
  </r>
  <r>
    <x v="10"/>
    <x v="4"/>
    <x v="82"/>
    <x v="1"/>
    <x v="2"/>
    <x v="0"/>
    <x v="1"/>
  </r>
  <r>
    <x v="10"/>
    <x v="4"/>
    <x v="67"/>
    <x v="9"/>
    <x v="3"/>
    <x v="0"/>
    <x v="1"/>
  </r>
  <r>
    <x v="10"/>
    <x v="4"/>
    <x v="1"/>
    <x v="0"/>
    <x v="46"/>
    <x v="0"/>
    <x v="1"/>
  </r>
  <r>
    <x v="10"/>
    <x v="4"/>
    <x v="1"/>
    <x v="0"/>
    <x v="6"/>
    <x v="0"/>
    <x v="1"/>
  </r>
  <r>
    <x v="10"/>
    <x v="4"/>
    <x v="113"/>
    <x v="0"/>
    <x v="19"/>
    <x v="0"/>
    <x v="1"/>
  </r>
  <r>
    <x v="10"/>
    <x v="4"/>
    <x v="31"/>
    <x v="0"/>
    <x v="19"/>
    <x v="0"/>
    <x v="1"/>
  </r>
  <r>
    <x v="10"/>
    <x v="4"/>
    <x v="114"/>
    <x v="0"/>
    <x v="1"/>
    <x v="0"/>
    <x v="1"/>
  </r>
  <r>
    <x v="10"/>
    <x v="4"/>
    <x v="5"/>
    <x v="3"/>
    <x v="7"/>
    <x v="0"/>
    <x v="1"/>
  </r>
  <r>
    <x v="10"/>
    <x v="4"/>
    <x v="115"/>
    <x v="1"/>
    <x v="47"/>
    <x v="0"/>
    <x v="1"/>
  </r>
  <r>
    <x v="10"/>
    <x v="4"/>
    <x v="66"/>
    <x v="1"/>
    <x v="15"/>
    <x v="0"/>
    <x v="1"/>
  </r>
  <r>
    <x v="10"/>
    <x v="4"/>
    <x v="116"/>
    <x v="0"/>
    <x v="48"/>
    <x v="0"/>
    <x v="1"/>
  </r>
  <r>
    <x v="10"/>
    <x v="4"/>
    <x v="80"/>
    <x v="1"/>
    <x v="37"/>
    <x v="0"/>
    <x v="1"/>
  </r>
  <r>
    <x v="10"/>
    <x v="4"/>
    <x v="7"/>
    <x v="13"/>
    <x v="24"/>
    <x v="0"/>
    <x v="1"/>
  </r>
  <r>
    <x v="10"/>
    <x v="4"/>
    <x v="80"/>
    <x v="1"/>
    <x v="25"/>
    <x v="0"/>
    <x v="1"/>
  </r>
  <r>
    <x v="10"/>
    <x v="4"/>
    <x v="117"/>
    <x v="0"/>
    <x v="4"/>
    <x v="0"/>
    <x v="1"/>
  </r>
  <r>
    <x v="10"/>
    <x v="4"/>
    <x v="8"/>
    <x v="4"/>
    <x v="9"/>
    <x v="0"/>
    <x v="1"/>
  </r>
  <r>
    <x v="10"/>
    <x v="4"/>
    <x v="8"/>
    <x v="4"/>
    <x v="9"/>
    <x v="0"/>
    <x v="1"/>
  </r>
  <r>
    <x v="10"/>
    <x v="4"/>
    <x v="107"/>
    <x v="7"/>
    <x v="15"/>
    <x v="0"/>
    <x v="1"/>
  </r>
  <r>
    <x v="10"/>
    <x v="4"/>
    <x v="8"/>
    <x v="4"/>
    <x v="9"/>
    <x v="0"/>
    <x v="1"/>
  </r>
  <r>
    <x v="10"/>
    <x v="4"/>
    <x v="84"/>
    <x v="7"/>
    <x v="18"/>
    <x v="0"/>
    <x v="1"/>
  </r>
  <r>
    <x v="10"/>
    <x v="4"/>
    <x v="118"/>
    <x v="7"/>
    <x v="8"/>
    <x v="0"/>
    <x v="1"/>
  </r>
  <r>
    <x v="10"/>
    <x v="4"/>
    <x v="7"/>
    <x v="13"/>
    <x v="27"/>
    <x v="0"/>
    <x v="1"/>
  </r>
  <r>
    <x v="10"/>
    <x v="4"/>
    <x v="8"/>
    <x v="4"/>
    <x v="9"/>
    <x v="0"/>
    <x v="1"/>
  </r>
  <r>
    <x v="11"/>
    <x v="5"/>
    <x v="119"/>
    <x v="4"/>
    <x v="10"/>
    <x v="0"/>
    <x v="1"/>
  </r>
  <r>
    <x v="11"/>
    <x v="5"/>
    <x v="2"/>
    <x v="1"/>
    <x v="1"/>
    <x v="0"/>
    <x v="1"/>
  </r>
  <r>
    <x v="11"/>
    <x v="5"/>
    <x v="120"/>
    <x v="0"/>
    <x v="49"/>
    <x v="0"/>
    <x v="1"/>
  </r>
  <r>
    <x v="11"/>
    <x v="5"/>
    <x v="121"/>
    <x v="4"/>
    <x v="9"/>
    <x v="0"/>
    <x v="1"/>
  </r>
  <r>
    <x v="11"/>
    <x v="5"/>
    <x v="122"/>
    <x v="7"/>
    <x v="39"/>
    <x v="0"/>
    <x v="1"/>
  </r>
  <r>
    <x v="11"/>
    <x v="5"/>
    <x v="123"/>
    <x v="1"/>
    <x v="9"/>
    <x v="0"/>
    <x v="1"/>
  </r>
  <r>
    <x v="11"/>
    <x v="5"/>
    <x v="124"/>
    <x v="0"/>
    <x v="29"/>
    <x v="0"/>
    <x v="1"/>
  </r>
  <r>
    <x v="11"/>
    <x v="5"/>
    <x v="125"/>
    <x v="7"/>
    <x v="5"/>
    <x v="0"/>
    <x v="1"/>
  </r>
  <r>
    <x v="11"/>
    <x v="5"/>
    <x v="8"/>
    <x v="4"/>
    <x v="9"/>
    <x v="0"/>
    <x v="1"/>
  </r>
  <r>
    <x v="11"/>
    <x v="5"/>
    <x v="62"/>
    <x v="1"/>
    <x v="19"/>
    <x v="0"/>
    <x v="1"/>
  </r>
  <r>
    <x v="11"/>
    <x v="5"/>
    <x v="9"/>
    <x v="5"/>
    <x v="10"/>
    <x v="0"/>
    <x v="1"/>
  </r>
  <r>
    <x v="11"/>
    <x v="5"/>
    <x v="126"/>
    <x v="0"/>
    <x v="23"/>
    <x v="0"/>
    <x v="1"/>
  </r>
  <r>
    <x v="11"/>
    <x v="5"/>
    <x v="80"/>
    <x v="1"/>
    <x v="6"/>
    <x v="0"/>
    <x v="1"/>
  </r>
  <r>
    <x v="11"/>
    <x v="5"/>
    <x v="80"/>
    <x v="1"/>
    <x v="1"/>
    <x v="0"/>
    <x v="1"/>
  </r>
  <r>
    <x v="11"/>
    <x v="5"/>
    <x v="127"/>
    <x v="1"/>
    <x v="37"/>
    <x v="0"/>
    <x v="1"/>
  </r>
  <r>
    <x v="11"/>
    <x v="5"/>
    <x v="62"/>
    <x v="1"/>
    <x v="18"/>
    <x v="0"/>
    <x v="1"/>
  </r>
  <r>
    <x v="11"/>
    <x v="5"/>
    <x v="117"/>
    <x v="0"/>
    <x v="4"/>
    <x v="0"/>
    <x v="1"/>
  </r>
  <r>
    <x v="11"/>
    <x v="5"/>
    <x v="62"/>
    <x v="1"/>
    <x v="1"/>
    <x v="0"/>
    <x v="1"/>
  </r>
  <r>
    <x v="11"/>
    <x v="5"/>
    <x v="62"/>
    <x v="1"/>
    <x v="6"/>
    <x v="0"/>
    <x v="1"/>
  </r>
  <r>
    <x v="11"/>
    <x v="5"/>
    <x v="62"/>
    <x v="1"/>
    <x v="6"/>
    <x v="0"/>
    <x v="1"/>
  </r>
  <r>
    <x v="11"/>
    <x v="5"/>
    <x v="80"/>
    <x v="1"/>
    <x v="9"/>
    <x v="0"/>
    <x v="1"/>
  </r>
  <r>
    <x v="11"/>
    <x v="5"/>
    <x v="128"/>
    <x v="2"/>
    <x v="5"/>
    <x v="0"/>
    <x v="1"/>
  </r>
  <r>
    <x v="11"/>
    <x v="5"/>
    <x v="129"/>
    <x v="7"/>
    <x v="8"/>
    <x v="0"/>
    <x v="1"/>
  </r>
  <r>
    <x v="11"/>
    <x v="5"/>
    <x v="130"/>
    <x v="7"/>
    <x v="15"/>
    <x v="0"/>
    <x v="1"/>
  </r>
  <r>
    <x v="11"/>
    <x v="5"/>
    <x v="8"/>
    <x v="4"/>
    <x v="9"/>
    <x v="0"/>
    <x v="1"/>
  </r>
  <r>
    <x v="11"/>
    <x v="5"/>
    <x v="131"/>
    <x v="0"/>
    <x v="1"/>
    <x v="0"/>
    <x v="1"/>
  </r>
  <r>
    <x v="11"/>
    <x v="5"/>
    <x v="132"/>
    <x v="7"/>
    <x v="7"/>
    <x v="0"/>
    <x v="1"/>
  </r>
  <r>
    <x v="11"/>
    <x v="5"/>
    <x v="80"/>
    <x v="1"/>
    <x v="15"/>
    <x v="0"/>
    <x v="1"/>
  </r>
  <r>
    <x v="11"/>
    <x v="5"/>
    <x v="94"/>
    <x v="14"/>
    <x v="8"/>
    <x v="0"/>
    <x v="1"/>
  </r>
  <r>
    <x v="11"/>
    <x v="5"/>
    <x v="80"/>
    <x v="1"/>
    <x v="18"/>
    <x v="0"/>
    <x v="1"/>
  </r>
  <r>
    <x v="11"/>
    <x v="5"/>
    <x v="133"/>
    <x v="0"/>
    <x v="50"/>
    <x v="0"/>
    <x v="1"/>
  </r>
  <r>
    <x v="12"/>
    <x v="0"/>
    <x v="134"/>
    <x v="4"/>
    <x v="51"/>
    <x v="0"/>
    <x v="2"/>
  </r>
  <r>
    <x v="12"/>
    <x v="0"/>
    <x v="8"/>
    <x v="4"/>
    <x v="9"/>
    <x v="0"/>
    <x v="2"/>
  </r>
  <r>
    <x v="12"/>
    <x v="0"/>
    <x v="118"/>
    <x v="7"/>
    <x v="3"/>
    <x v="0"/>
    <x v="2"/>
  </r>
  <r>
    <x v="12"/>
    <x v="0"/>
    <x v="135"/>
    <x v="7"/>
    <x v="52"/>
    <x v="0"/>
    <x v="2"/>
  </r>
  <r>
    <x v="12"/>
    <x v="0"/>
    <x v="32"/>
    <x v="12"/>
    <x v="8"/>
    <x v="0"/>
    <x v="2"/>
  </r>
  <r>
    <x v="12"/>
    <x v="0"/>
    <x v="80"/>
    <x v="1"/>
    <x v="9"/>
    <x v="0"/>
    <x v="2"/>
  </r>
  <r>
    <x v="12"/>
    <x v="0"/>
    <x v="9"/>
    <x v="5"/>
    <x v="10"/>
    <x v="0"/>
    <x v="2"/>
  </r>
  <r>
    <x v="12"/>
    <x v="0"/>
    <x v="80"/>
    <x v="1"/>
    <x v="9"/>
    <x v="0"/>
    <x v="2"/>
  </r>
  <r>
    <x v="12"/>
    <x v="0"/>
    <x v="136"/>
    <x v="0"/>
    <x v="42"/>
    <x v="0"/>
    <x v="2"/>
  </r>
  <r>
    <x v="12"/>
    <x v="0"/>
    <x v="137"/>
    <x v="0"/>
    <x v="6"/>
    <x v="0"/>
    <x v="2"/>
  </r>
  <r>
    <x v="12"/>
    <x v="0"/>
    <x v="80"/>
    <x v="1"/>
    <x v="1"/>
    <x v="0"/>
    <x v="2"/>
  </r>
  <r>
    <x v="12"/>
    <x v="0"/>
    <x v="80"/>
    <x v="1"/>
    <x v="53"/>
    <x v="0"/>
    <x v="2"/>
  </r>
  <r>
    <x v="12"/>
    <x v="0"/>
    <x v="80"/>
    <x v="1"/>
    <x v="9"/>
    <x v="0"/>
    <x v="2"/>
  </r>
  <r>
    <x v="12"/>
    <x v="0"/>
    <x v="104"/>
    <x v="14"/>
    <x v="54"/>
    <x v="0"/>
    <x v="2"/>
  </r>
  <r>
    <x v="12"/>
    <x v="0"/>
    <x v="62"/>
    <x v="1"/>
    <x v="1"/>
    <x v="0"/>
    <x v="2"/>
  </r>
  <r>
    <x v="12"/>
    <x v="0"/>
    <x v="138"/>
    <x v="1"/>
    <x v="15"/>
    <x v="0"/>
    <x v="2"/>
  </r>
  <r>
    <x v="12"/>
    <x v="0"/>
    <x v="8"/>
    <x v="4"/>
    <x v="9"/>
    <x v="0"/>
    <x v="2"/>
  </r>
  <r>
    <x v="12"/>
    <x v="0"/>
    <x v="139"/>
    <x v="6"/>
    <x v="1"/>
    <x v="0"/>
    <x v="2"/>
  </r>
  <r>
    <x v="12"/>
    <x v="0"/>
    <x v="103"/>
    <x v="0"/>
    <x v="8"/>
    <x v="0"/>
    <x v="2"/>
  </r>
  <r>
    <x v="12"/>
    <x v="0"/>
    <x v="85"/>
    <x v="7"/>
    <x v="3"/>
    <x v="0"/>
    <x v="2"/>
  </r>
  <r>
    <x v="12"/>
    <x v="0"/>
    <x v="138"/>
    <x v="1"/>
    <x v="55"/>
    <x v="0"/>
    <x v="2"/>
  </r>
  <r>
    <x v="12"/>
    <x v="0"/>
    <x v="36"/>
    <x v="0"/>
    <x v="19"/>
    <x v="0"/>
    <x v="2"/>
  </r>
  <r>
    <x v="12"/>
    <x v="0"/>
    <x v="1"/>
    <x v="0"/>
    <x v="38"/>
    <x v="0"/>
    <x v="2"/>
  </r>
  <r>
    <x v="12"/>
    <x v="0"/>
    <x v="8"/>
    <x v="4"/>
    <x v="9"/>
    <x v="0"/>
    <x v="2"/>
  </r>
  <r>
    <x v="12"/>
    <x v="0"/>
    <x v="67"/>
    <x v="9"/>
    <x v="17"/>
    <x v="0"/>
    <x v="2"/>
  </r>
  <r>
    <x v="12"/>
    <x v="0"/>
    <x v="62"/>
    <x v="1"/>
    <x v="2"/>
    <x v="0"/>
    <x v="2"/>
  </r>
  <r>
    <x v="12"/>
    <x v="0"/>
    <x v="8"/>
    <x v="4"/>
    <x v="9"/>
    <x v="0"/>
    <x v="2"/>
  </r>
  <r>
    <x v="12"/>
    <x v="0"/>
    <x v="1"/>
    <x v="0"/>
    <x v="6"/>
    <x v="0"/>
    <x v="2"/>
  </r>
  <r>
    <x v="12"/>
    <x v="0"/>
    <x v="140"/>
    <x v="1"/>
    <x v="19"/>
    <x v="0"/>
    <x v="2"/>
  </r>
  <r>
    <x v="12"/>
    <x v="0"/>
    <x v="8"/>
    <x v="4"/>
    <x v="9"/>
    <x v="0"/>
    <x v="2"/>
  </r>
  <r>
    <x v="12"/>
    <x v="0"/>
    <x v="94"/>
    <x v="14"/>
    <x v="44"/>
    <x v="0"/>
    <x v="2"/>
  </r>
  <r>
    <x v="12"/>
    <x v="0"/>
    <x v="1"/>
    <x v="0"/>
    <x v="6"/>
    <x v="0"/>
    <x v="2"/>
  </r>
  <r>
    <x v="12"/>
    <x v="0"/>
    <x v="8"/>
    <x v="4"/>
    <x v="9"/>
    <x v="0"/>
    <x v="2"/>
  </r>
  <r>
    <x v="12"/>
    <x v="0"/>
    <x v="31"/>
    <x v="0"/>
    <x v="0"/>
    <x v="0"/>
    <x v="2"/>
  </r>
  <r>
    <x v="12"/>
    <x v="0"/>
    <x v="78"/>
    <x v="8"/>
    <x v="15"/>
    <x v="0"/>
    <x v="2"/>
  </r>
  <r>
    <x v="12"/>
    <x v="0"/>
    <x v="2"/>
    <x v="1"/>
    <x v="18"/>
    <x v="0"/>
    <x v="2"/>
  </r>
  <r>
    <x v="12"/>
    <x v="0"/>
    <x v="80"/>
    <x v="1"/>
    <x v="1"/>
    <x v="0"/>
    <x v="2"/>
  </r>
  <r>
    <x v="12"/>
    <x v="0"/>
    <x v="141"/>
    <x v="1"/>
    <x v="6"/>
    <x v="0"/>
    <x v="2"/>
  </r>
  <r>
    <x v="12"/>
    <x v="0"/>
    <x v="2"/>
    <x v="1"/>
    <x v="1"/>
    <x v="0"/>
    <x v="2"/>
  </r>
  <r>
    <x v="12"/>
    <x v="0"/>
    <x v="142"/>
    <x v="0"/>
    <x v="32"/>
    <x v="0"/>
    <x v="2"/>
  </r>
  <r>
    <x v="12"/>
    <x v="0"/>
    <x v="2"/>
    <x v="1"/>
    <x v="2"/>
    <x v="0"/>
    <x v="2"/>
  </r>
  <r>
    <x v="12"/>
    <x v="0"/>
    <x v="2"/>
    <x v="1"/>
    <x v="6"/>
    <x v="0"/>
    <x v="2"/>
  </r>
  <r>
    <x v="12"/>
    <x v="0"/>
    <x v="90"/>
    <x v="1"/>
    <x v="1"/>
    <x v="0"/>
    <x v="2"/>
  </r>
  <r>
    <x v="12"/>
    <x v="0"/>
    <x v="143"/>
    <x v="2"/>
    <x v="6"/>
    <x v="0"/>
    <x v="2"/>
  </r>
  <r>
    <x v="12"/>
    <x v="0"/>
    <x v="142"/>
    <x v="0"/>
    <x v="0"/>
    <x v="0"/>
    <x v="2"/>
  </r>
  <r>
    <x v="12"/>
    <x v="0"/>
    <x v="144"/>
    <x v="9"/>
    <x v="24"/>
    <x v="0"/>
    <x v="2"/>
  </r>
  <r>
    <x v="12"/>
    <x v="0"/>
    <x v="142"/>
    <x v="0"/>
    <x v="0"/>
    <x v="0"/>
    <x v="2"/>
  </r>
  <r>
    <x v="12"/>
    <x v="0"/>
    <x v="145"/>
    <x v="1"/>
    <x v="53"/>
    <x v="0"/>
    <x v="2"/>
  </r>
  <r>
    <x v="12"/>
    <x v="0"/>
    <x v="5"/>
    <x v="3"/>
    <x v="53"/>
    <x v="0"/>
    <x v="2"/>
  </r>
  <r>
    <x v="12"/>
    <x v="0"/>
    <x v="8"/>
    <x v="4"/>
    <x v="9"/>
    <x v="0"/>
    <x v="2"/>
  </r>
  <r>
    <x v="12"/>
    <x v="0"/>
    <x v="146"/>
    <x v="1"/>
    <x v="2"/>
    <x v="0"/>
    <x v="2"/>
  </r>
  <r>
    <x v="12"/>
    <x v="0"/>
    <x v="2"/>
    <x v="1"/>
    <x v="19"/>
    <x v="0"/>
    <x v="2"/>
  </r>
  <r>
    <x v="12"/>
    <x v="0"/>
    <x v="2"/>
    <x v="1"/>
    <x v="18"/>
    <x v="0"/>
    <x v="2"/>
  </r>
  <r>
    <x v="12"/>
    <x v="0"/>
    <x v="2"/>
    <x v="1"/>
    <x v="19"/>
    <x v="0"/>
    <x v="2"/>
  </r>
  <r>
    <x v="12"/>
    <x v="0"/>
    <x v="147"/>
    <x v="6"/>
    <x v="19"/>
    <x v="0"/>
    <x v="2"/>
  </r>
  <r>
    <x v="12"/>
    <x v="0"/>
    <x v="148"/>
    <x v="8"/>
    <x v="56"/>
    <x v="0"/>
    <x v="2"/>
  </r>
  <r>
    <x v="13"/>
    <x v="1"/>
    <x v="149"/>
    <x v="0"/>
    <x v="15"/>
    <x v="0"/>
    <x v="2"/>
  </r>
  <r>
    <x v="13"/>
    <x v="1"/>
    <x v="2"/>
    <x v="1"/>
    <x v="19"/>
    <x v="0"/>
    <x v="2"/>
  </r>
  <r>
    <x v="13"/>
    <x v="1"/>
    <x v="2"/>
    <x v="1"/>
    <x v="19"/>
    <x v="0"/>
    <x v="2"/>
  </r>
  <r>
    <x v="13"/>
    <x v="1"/>
    <x v="2"/>
    <x v="1"/>
    <x v="6"/>
    <x v="0"/>
    <x v="2"/>
  </r>
  <r>
    <x v="13"/>
    <x v="1"/>
    <x v="150"/>
    <x v="1"/>
    <x v="9"/>
    <x v="0"/>
    <x v="2"/>
  </r>
  <r>
    <x v="13"/>
    <x v="1"/>
    <x v="8"/>
    <x v="4"/>
    <x v="19"/>
    <x v="0"/>
    <x v="2"/>
  </r>
  <r>
    <x v="13"/>
    <x v="1"/>
    <x v="62"/>
    <x v="1"/>
    <x v="9"/>
    <x v="0"/>
    <x v="2"/>
  </r>
  <r>
    <x v="13"/>
    <x v="1"/>
    <x v="8"/>
    <x v="4"/>
    <x v="19"/>
    <x v="0"/>
    <x v="2"/>
  </r>
  <r>
    <x v="13"/>
    <x v="1"/>
    <x v="31"/>
    <x v="0"/>
    <x v="0"/>
    <x v="0"/>
    <x v="2"/>
  </r>
  <r>
    <x v="13"/>
    <x v="1"/>
    <x v="151"/>
    <x v="1"/>
    <x v="15"/>
    <x v="0"/>
    <x v="2"/>
  </r>
  <r>
    <x v="13"/>
    <x v="1"/>
    <x v="2"/>
    <x v="1"/>
    <x v="18"/>
    <x v="0"/>
    <x v="2"/>
  </r>
  <r>
    <x v="13"/>
    <x v="1"/>
    <x v="2"/>
    <x v="1"/>
    <x v="57"/>
    <x v="0"/>
    <x v="2"/>
  </r>
  <r>
    <x v="13"/>
    <x v="1"/>
    <x v="2"/>
    <x v="1"/>
    <x v="1"/>
    <x v="0"/>
    <x v="2"/>
  </r>
  <r>
    <x v="13"/>
    <x v="1"/>
    <x v="2"/>
    <x v="1"/>
    <x v="1"/>
    <x v="0"/>
    <x v="2"/>
  </r>
  <r>
    <x v="13"/>
    <x v="1"/>
    <x v="2"/>
    <x v="1"/>
    <x v="15"/>
    <x v="0"/>
    <x v="2"/>
  </r>
  <r>
    <x v="13"/>
    <x v="1"/>
    <x v="152"/>
    <x v="7"/>
    <x v="19"/>
    <x v="0"/>
    <x v="2"/>
  </r>
  <r>
    <x v="13"/>
    <x v="1"/>
    <x v="0"/>
    <x v="0"/>
    <x v="18"/>
    <x v="0"/>
    <x v="2"/>
  </r>
  <r>
    <x v="13"/>
    <x v="1"/>
    <x v="2"/>
    <x v="1"/>
    <x v="1"/>
    <x v="0"/>
    <x v="2"/>
  </r>
  <r>
    <x v="13"/>
    <x v="1"/>
    <x v="48"/>
    <x v="9"/>
    <x v="18"/>
    <x v="0"/>
    <x v="2"/>
  </r>
  <r>
    <x v="13"/>
    <x v="1"/>
    <x v="2"/>
    <x v="1"/>
    <x v="1"/>
    <x v="0"/>
    <x v="2"/>
  </r>
  <r>
    <x v="13"/>
    <x v="1"/>
    <x v="2"/>
    <x v="1"/>
    <x v="32"/>
    <x v="0"/>
    <x v="2"/>
  </r>
  <r>
    <x v="13"/>
    <x v="1"/>
    <x v="0"/>
    <x v="0"/>
    <x v="10"/>
    <x v="0"/>
    <x v="2"/>
  </r>
  <r>
    <x v="13"/>
    <x v="1"/>
    <x v="84"/>
    <x v="7"/>
    <x v="18"/>
    <x v="0"/>
    <x v="2"/>
  </r>
  <r>
    <x v="13"/>
    <x v="1"/>
    <x v="0"/>
    <x v="0"/>
    <x v="32"/>
    <x v="0"/>
    <x v="2"/>
  </r>
  <r>
    <x v="13"/>
    <x v="1"/>
    <x v="2"/>
    <x v="1"/>
    <x v="6"/>
    <x v="0"/>
    <x v="2"/>
  </r>
  <r>
    <x v="13"/>
    <x v="1"/>
    <x v="67"/>
    <x v="9"/>
    <x v="17"/>
    <x v="0"/>
    <x v="2"/>
  </r>
  <r>
    <x v="13"/>
    <x v="1"/>
    <x v="153"/>
    <x v="1"/>
    <x v="9"/>
    <x v="0"/>
    <x v="2"/>
  </r>
  <r>
    <x v="13"/>
    <x v="1"/>
    <x v="154"/>
    <x v="6"/>
    <x v="19"/>
    <x v="0"/>
    <x v="2"/>
  </r>
  <r>
    <x v="13"/>
    <x v="1"/>
    <x v="155"/>
    <x v="1"/>
    <x v="18"/>
    <x v="0"/>
    <x v="2"/>
  </r>
  <r>
    <x v="13"/>
    <x v="1"/>
    <x v="36"/>
    <x v="0"/>
    <x v="19"/>
    <x v="0"/>
    <x v="2"/>
  </r>
  <r>
    <x v="13"/>
    <x v="1"/>
    <x v="142"/>
    <x v="0"/>
    <x v="0"/>
    <x v="0"/>
    <x v="2"/>
  </r>
  <r>
    <x v="13"/>
    <x v="1"/>
    <x v="2"/>
    <x v="1"/>
    <x v="19"/>
    <x v="0"/>
    <x v="2"/>
  </r>
  <r>
    <x v="13"/>
    <x v="1"/>
    <x v="156"/>
    <x v="5"/>
    <x v="10"/>
    <x v="0"/>
    <x v="2"/>
  </r>
  <r>
    <x v="13"/>
    <x v="1"/>
    <x v="8"/>
    <x v="4"/>
    <x v="9"/>
    <x v="0"/>
    <x v="2"/>
  </r>
  <r>
    <x v="13"/>
    <x v="1"/>
    <x v="9"/>
    <x v="5"/>
    <x v="10"/>
    <x v="0"/>
    <x v="2"/>
  </r>
  <r>
    <x v="13"/>
    <x v="1"/>
    <x v="8"/>
    <x v="4"/>
    <x v="9"/>
    <x v="0"/>
    <x v="2"/>
  </r>
  <r>
    <x v="13"/>
    <x v="1"/>
    <x v="157"/>
    <x v="0"/>
    <x v="3"/>
    <x v="0"/>
    <x v="2"/>
  </r>
  <r>
    <x v="13"/>
    <x v="1"/>
    <x v="2"/>
    <x v="1"/>
    <x v="6"/>
    <x v="0"/>
    <x v="2"/>
  </r>
  <r>
    <x v="13"/>
    <x v="1"/>
    <x v="8"/>
    <x v="4"/>
    <x v="9"/>
    <x v="0"/>
    <x v="2"/>
  </r>
  <r>
    <x v="13"/>
    <x v="1"/>
    <x v="126"/>
    <x v="0"/>
    <x v="58"/>
    <x v="0"/>
    <x v="2"/>
  </r>
  <r>
    <x v="13"/>
    <x v="1"/>
    <x v="158"/>
    <x v="1"/>
    <x v="9"/>
    <x v="0"/>
    <x v="2"/>
  </r>
  <r>
    <x v="14"/>
    <x v="2"/>
    <x v="84"/>
    <x v="7"/>
    <x v="18"/>
    <x v="0"/>
    <x v="2"/>
  </r>
  <r>
    <x v="14"/>
    <x v="2"/>
    <x v="0"/>
    <x v="0"/>
    <x v="32"/>
    <x v="0"/>
    <x v="2"/>
  </r>
  <r>
    <x v="14"/>
    <x v="2"/>
    <x v="2"/>
    <x v="1"/>
    <x v="6"/>
    <x v="0"/>
    <x v="2"/>
  </r>
  <r>
    <x v="14"/>
    <x v="2"/>
    <x v="67"/>
    <x v="9"/>
    <x v="17"/>
    <x v="0"/>
    <x v="2"/>
  </r>
  <r>
    <x v="14"/>
    <x v="2"/>
    <x v="155"/>
    <x v="1"/>
    <x v="9"/>
    <x v="0"/>
    <x v="2"/>
  </r>
  <r>
    <x v="14"/>
    <x v="2"/>
    <x v="154"/>
    <x v="6"/>
    <x v="19"/>
    <x v="0"/>
    <x v="2"/>
  </r>
  <r>
    <x v="14"/>
    <x v="2"/>
    <x v="156"/>
    <x v="5"/>
    <x v="10"/>
    <x v="0"/>
    <x v="2"/>
  </r>
  <r>
    <x v="14"/>
    <x v="2"/>
    <x v="8"/>
    <x v="4"/>
    <x v="9"/>
    <x v="0"/>
    <x v="2"/>
  </r>
  <r>
    <x v="14"/>
    <x v="2"/>
    <x v="9"/>
    <x v="5"/>
    <x v="10"/>
    <x v="0"/>
    <x v="2"/>
  </r>
  <r>
    <x v="14"/>
    <x v="2"/>
    <x v="157"/>
    <x v="0"/>
    <x v="3"/>
    <x v="0"/>
    <x v="2"/>
  </r>
  <r>
    <x v="14"/>
    <x v="2"/>
    <x v="2"/>
    <x v="1"/>
    <x v="6"/>
    <x v="0"/>
    <x v="2"/>
  </r>
  <r>
    <x v="15"/>
    <x v="3"/>
    <x v="0"/>
    <x v="0"/>
    <x v="19"/>
    <x v="0"/>
    <x v="2"/>
  </r>
  <r>
    <x v="15"/>
    <x v="3"/>
    <x v="2"/>
    <x v="1"/>
    <x v="19"/>
    <x v="0"/>
    <x v="2"/>
  </r>
  <r>
    <x v="15"/>
    <x v="3"/>
    <x v="2"/>
    <x v="1"/>
    <x v="1"/>
    <x v="0"/>
    <x v="2"/>
  </r>
  <r>
    <x v="15"/>
    <x v="3"/>
    <x v="2"/>
    <x v="1"/>
    <x v="6"/>
    <x v="0"/>
    <x v="2"/>
  </r>
  <r>
    <x v="15"/>
    <x v="3"/>
    <x v="159"/>
    <x v="1"/>
    <x v="23"/>
    <x v="0"/>
    <x v="2"/>
  </r>
  <r>
    <x v="15"/>
    <x v="3"/>
    <x v="154"/>
    <x v="6"/>
    <x v="19"/>
    <x v="0"/>
    <x v="2"/>
  </r>
  <r>
    <x v="15"/>
    <x v="3"/>
    <x v="0"/>
    <x v="0"/>
    <x v="19"/>
    <x v="0"/>
    <x v="2"/>
  </r>
  <r>
    <x v="15"/>
    <x v="3"/>
    <x v="160"/>
    <x v="1"/>
    <x v="59"/>
    <x v="0"/>
    <x v="2"/>
  </r>
  <r>
    <x v="15"/>
    <x v="3"/>
    <x v="161"/>
    <x v="7"/>
    <x v="18"/>
    <x v="0"/>
    <x v="2"/>
  </r>
  <r>
    <x v="15"/>
    <x v="3"/>
    <x v="137"/>
    <x v="0"/>
    <x v="6"/>
    <x v="0"/>
    <x v="2"/>
  </r>
  <r>
    <x v="15"/>
    <x v="3"/>
    <x v="1"/>
    <x v="0"/>
    <x v="19"/>
    <x v="0"/>
    <x v="2"/>
  </r>
  <r>
    <x v="15"/>
    <x v="3"/>
    <x v="158"/>
    <x v="1"/>
    <x v="60"/>
    <x v="0"/>
    <x v="2"/>
  </r>
  <r>
    <x v="15"/>
    <x v="3"/>
    <x v="8"/>
    <x v="4"/>
    <x v="10"/>
    <x v="0"/>
    <x v="2"/>
  </r>
  <r>
    <x v="15"/>
    <x v="3"/>
    <x v="2"/>
    <x v="1"/>
    <x v="15"/>
    <x v="0"/>
    <x v="2"/>
  </r>
  <r>
    <x v="15"/>
    <x v="3"/>
    <x v="162"/>
    <x v="2"/>
    <x v="61"/>
    <x v="0"/>
    <x v="2"/>
  </r>
  <r>
    <x v="15"/>
    <x v="3"/>
    <x v="2"/>
    <x v="1"/>
    <x v="9"/>
    <x v="0"/>
    <x v="2"/>
  </r>
  <r>
    <x v="15"/>
    <x v="3"/>
    <x v="154"/>
    <x v="6"/>
    <x v="19"/>
    <x v="0"/>
    <x v="2"/>
  </r>
  <r>
    <x v="15"/>
    <x v="3"/>
    <x v="163"/>
    <x v="6"/>
    <x v="29"/>
    <x v="0"/>
    <x v="2"/>
  </r>
  <r>
    <x v="15"/>
    <x v="3"/>
    <x v="164"/>
    <x v="5"/>
    <x v="62"/>
    <x v="0"/>
    <x v="2"/>
  </r>
  <r>
    <x v="15"/>
    <x v="3"/>
    <x v="2"/>
    <x v="1"/>
    <x v="22"/>
    <x v="0"/>
    <x v="2"/>
  </r>
  <r>
    <x v="15"/>
    <x v="3"/>
    <x v="165"/>
    <x v="14"/>
    <x v="63"/>
    <x v="0"/>
    <x v="2"/>
  </r>
  <r>
    <x v="15"/>
    <x v="3"/>
    <x v="165"/>
    <x v="14"/>
    <x v="64"/>
    <x v="0"/>
    <x v="2"/>
  </r>
  <r>
    <x v="15"/>
    <x v="3"/>
    <x v="8"/>
    <x v="4"/>
    <x v="9"/>
    <x v="0"/>
    <x v="2"/>
  </r>
  <r>
    <x v="15"/>
    <x v="3"/>
    <x v="2"/>
    <x v="1"/>
    <x v="18"/>
    <x v="0"/>
    <x v="2"/>
  </r>
  <r>
    <x v="15"/>
    <x v="3"/>
    <x v="8"/>
    <x v="4"/>
    <x v="9"/>
    <x v="0"/>
    <x v="2"/>
  </r>
  <r>
    <x v="15"/>
    <x v="3"/>
    <x v="2"/>
    <x v="1"/>
    <x v="19"/>
    <x v="0"/>
    <x v="2"/>
  </r>
  <r>
    <x v="15"/>
    <x v="3"/>
    <x v="8"/>
    <x v="4"/>
    <x v="9"/>
    <x v="0"/>
    <x v="2"/>
  </r>
  <r>
    <x v="15"/>
    <x v="3"/>
    <x v="2"/>
    <x v="1"/>
    <x v="1"/>
    <x v="0"/>
    <x v="2"/>
  </r>
  <r>
    <x v="15"/>
    <x v="3"/>
    <x v="2"/>
    <x v="1"/>
    <x v="1"/>
    <x v="0"/>
    <x v="2"/>
  </r>
  <r>
    <x v="15"/>
    <x v="3"/>
    <x v="2"/>
    <x v="1"/>
    <x v="1"/>
    <x v="0"/>
    <x v="2"/>
  </r>
  <r>
    <x v="15"/>
    <x v="3"/>
    <x v="166"/>
    <x v="5"/>
    <x v="44"/>
    <x v="0"/>
    <x v="2"/>
  </r>
  <r>
    <x v="15"/>
    <x v="3"/>
    <x v="167"/>
    <x v="0"/>
    <x v="37"/>
    <x v="0"/>
    <x v="2"/>
  </r>
  <r>
    <x v="15"/>
    <x v="3"/>
    <x v="2"/>
    <x v="1"/>
    <x v="3"/>
    <x v="0"/>
    <x v="2"/>
  </r>
  <r>
    <x v="15"/>
    <x v="3"/>
    <x v="31"/>
    <x v="0"/>
    <x v="6"/>
    <x v="0"/>
    <x v="2"/>
  </r>
  <r>
    <x v="15"/>
    <x v="3"/>
    <x v="2"/>
    <x v="1"/>
    <x v="6"/>
    <x v="0"/>
    <x v="2"/>
  </r>
  <r>
    <x v="15"/>
    <x v="3"/>
    <x v="168"/>
    <x v="6"/>
    <x v="0"/>
    <x v="0"/>
    <x v="2"/>
  </r>
  <r>
    <x v="15"/>
    <x v="3"/>
    <x v="8"/>
    <x v="4"/>
    <x v="9"/>
    <x v="0"/>
    <x v="2"/>
  </r>
  <r>
    <x v="15"/>
    <x v="3"/>
    <x v="2"/>
    <x v="1"/>
    <x v="19"/>
    <x v="0"/>
    <x v="2"/>
  </r>
  <r>
    <x v="15"/>
    <x v="3"/>
    <x v="8"/>
    <x v="4"/>
    <x v="9"/>
    <x v="0"/>
    <x v="2"/>
  </r>
  <r>
    <x v="15"/>
    <x v="3"/>
    <x v="169"/>
    <x v="16"/>
    <x v="9"/>
    <x v="0"/>
    <x v="2"/>
  </r>
  <r>
    <x v="15"/>
    <x v="3"/>
    <x v="170"/>
    <x v="1"/>
    <x v="33"/>
    <x v="0"/>
    <x v="2"/>
  </r>
  <r>
    <x v="15"/>
    <x v="3"/>
    <x v="170"/>
    <x v="1"/>
    <x v="65"/>
    <x v="0"/>
    <x v="2"/>
  </r>
  <r>
    <x v="15"/>
    <x v="3"/>
    <x v="154"/>
    <x v="6"/>
    <x v="0"/>
    <x v="0"/>
    <x v="2"/>
  </r>
  <r>
    <x v="15"/>
    <x v="3"/>
    <x v="44"/>
    <x v="5"/>
    <x v="10"/>
    <x v="0"/>
    <x v="2"/>
  </r>
  <r>
    <x v="16"/>
    <x v="4"/>
    <x v="171"/>
    <x v="1"/>
    <x v="51"/>
    <x v="0"/>
    <x v="2"/>
  </r>
  <r>
    <x v="16"/>
    <x v="4"/>
    <x v="172"/>
    <x v="1"/>
    <x v="5"/>
    <x v="0"/>
    <x v="2"/>
  </r>
  <r>
    <x v="16"/>
    <x v="4"/>
    <x v="2"/>
    <x v="1"/>
    <x v="1"/>
    <x v="0"/>
    <x v="2"/>
  </r>
  <r>
    <x v="16"/>
    <x v="4"/>
    <x v="67"/>
    <x v="9"/>
    <x v="65"/>
    <x v="0"/>
    <x v="2"/>
  </r>
  <r>
    <x v="16"/>
    <x v="4"/>
    <x v="133"/>
    <x v="0"/>
    <x v="4"/>
    <x v="0"/>
    <x v="2"/>
  </r>
  <r>
    <x v="16"/>
    <x v="4"/>
    <x v="2"/>
    <x v="1"/>
    <x v="17"/>
    <x v="0"/>
    <x v="2"/>
  </r>
  <r>
    <x v="16"/>
    <x v="4"/>
    <x v="8"/>
    <x v="4"/>
    <x v="9"/>
    <x v="0"/>
    <x v="2"/>
  </r>
  <r>
    <x v="16"/>
    <x v="4"/>
    <x v="173"/>
    <x v="7"/>
    <x v="66"/>
    <x v="0"/>
    <x v="2"/>
  </r>
  <r>
    <x v="16"/>
    <x v="4"/>
    <x v="154"/>
    <x v="6"/>
    <x v="19"/>
    <x v="0"/>
    <x v="2"/>
  </r>
  <r>
    <x v="16"/>
    <x v="4"/>
    <x v="2"/>
    <x v="1"/>
    <x v="6"/>
    <x v="0"/>
    <x v="2"/>
  </r>
  <r>
    <x v="16"/>
    <x v="4"/>
    <x v="94"/>
    <x v="14"/>
    <x v="8"/>
    <x v="0"/>
    <x v="2"/>
  </r>
  <r>
    <x v="16"/>
    <x v="4"/>
    <x v="44"/>
    <x v="5"/>
    <x v="27"/>
    <x v="0"/>
    <x v="2"/>
  </r>
  <r>
    <x v="16"/>
    <x v="4"/>
    <x v="2"/>
    <x v="1"/>
    <x v="2"/>
    <x v="0"/>
    <x v="2"/>
  </r>
  <r>
    <x v="16"/>
    <x v="4"/>
    <x v="2"/>
    <x v="1"/>
    <x v="1"/>
    <x v="0"/>
    <x v="2"/>
  </r>
  <r>
    <x v="16"/>
    <x v="4"/>
    <x v="31"/>
    <x v="0"/>
    <x v="0"/>
    <x v="0"/>
    <x v="2"/>
  </r>
  <r>
    <x v="16"/>
    <x v="4"/>
    <x v="112"/>
    <x v="6"/>
    <x v="0"/>
    <x v="0"/>
    <x v="2"/>
  </r>
  <r>
    <x v="16"/>
    <x v="4"/>
    <x v="147"/>
    <x v="6"/>
    <x v="19"/>
    <x v="0"/>
    <x v="2"/>
  </r>
  <r>
    <x v="16"/>
    <x v="4"/>
    <x v="174"/>
    <x v="1"/>
    <x v="53"/>
    <x v="0"/>
    <x v="2"/>
  </r>
  <r>
    <x v="16"/>
    <x v="4"/>
    <x v="2"/>
    <x v="1"/>
    <x v="15"/>
    <x v="0"/>
    <x v="2"/>
  </r>
  <r>
    <x v="16"/>
    <x v="4"/>
    <x v="2"/>
    <x v="1"/>
    <x v="19"/>
    <x v="0"/>
    <x v="2"/>
  </r>
  <r>
    <x v="16"/>
    <x v="4"/>
    <x v="172"/>
    <x v="1"/>
    <x v="17"/>
    <x v="0"/>
    <x v="2"/>
  </r>
  <r>
    <x v="16"/>
    <x v="4"/>
    <x v="94"/>
    <x v="14"/>
    <x v="44"/>
    <x v="0"/>
    <x v="2"/>
  </r>
  <r>
    <x v="16"/>
    <x v="4"/>
    <x v="2"/>
    <x v="1"/>
    <x v="9"/>
    <x v="0"/>
    <x v="2"/>
  </r>
  <r>
    <x v="16"/>
    <x v="4"/>
    <x v="142"/>
    <x v="0"/>
    <x v="0"/>
    <x v="0"/>
    <x v="2"/>
  </r>
  <r>
    <x v="16"/>
    <x v="4"/>
    <x v="142"/>
    <x v="0"/>
    <x v="19"/>
    <x v="0"/>
    <x v="2"/>
  </r>
  <r>
    <x v="16"/>
    <x v="4"/>
    <x v="2"/>
    <x v="1"/>
    <x v="17"/>
    <x v="0"/>
    <x v="2"/>
  </r>
  <r>
    <x v="16"/>
    <x v="4"/>
    <x v="8"/>
    <x v="4"/>
    <x v="10"/>
    <x v="0"/>
    <x v="2"/>
  </r>
  <r>
    <x v="16"/>
    <x v="4"/>
    <x v="175"/>
    <x v="5"/>
    <x v="44"/>
    <x v="0"/>
    <x v="2"/>
  </r>
  <r>
    <x v="16"/>
    <x v="4"/>
    <x v="0"/>
    <x v="0"/>
    <x v="44"/>
    <x v="0"/>
    <x v="2"/>
  </r>
  <r>
    <x v="16"/>
    <x v="4"/>
    <x v="175"/>
    <x v="5"/>
    <x v="44"/>
    <x v="0"/>
    <x v="2"/>
  </r>
  <r>
    <x v="16"/>
    <x v="4"/>
    <x v="176"/>
    <x v="1"/>
    <x v="67"/>
    <x v="0"/>
    <x v="2"/>
  </r>
  <r>
    <x v="16"/>
    <x v="4"/>
    <x v="31"/>
    <x v="0"/>
    <x v="19"/>
    <x v="0"/>
    <x v="2"/>
  </r>
  <r>
    <x v="16"/>
    <x v="4"/>
    <x v="2"/>
    <x v="1"/>
    <x v="1"/>
    <x v="0"/>
    <x v="2"/>
  </r>
  <r>
    <x v="16"/>
    <x v="4"/>
    <x v="172"/>
    <x v="1"/>
    <x v="67"/>
    <x v="0"/>
    <x v="2"/>
  </r>
  <r>
    <x v="16"/>
    <x v="4"/>
    <x v="2"/>
    <x v="1"/>
    <x v="44"/>
    <x v="0"/>
    <x v="2"/>
  </r>
  <r>
    <x v="16"/>
    <x v="4"/>
    <x v="94"/>
    <x v="14"/>
    <x v="19"/>
    <x v="0"/>
    <x v="2"/>
  </r>
  <r>
    <x v="16"/>
    <x v="4"/>
    <x v="2"/>
    <x v="1"/>
    <x v="1"/>
    <x v="0"/>
    <x v="2"/>
  </r>
  <r>
    <x v="17"/>
    <x v="5"/>
    <x v="2"/>
    <x v="1"/>
    <x v="1"/>
    <x v="0"/>
    <x v="2"/>
  </r>
  <r>
    <x v="17"/>
    <x v="5"/>
    <x v="177"/>
    <x v="1"/>
    <x v="1"/>
    <x v="0"/>
    <x v="2"/>
  </r>
  <r>
    <x v="17"/>
    <x v="5"/>
    <x v="178"/>
    <x v="6"/>
    <x v="19"/>
    <x v="0"/>
    <x v="2"/>
  </r>
  <r>
    <x v="17"/>
    <x v="5"/>
    <x v="8"/>
    <x v="4"/>
    <x v="9"/>
    <x v="0"/>
    <x v="2"/>
  </r>
  <r>
    <x v="17"/>
    <x v="5"/>
    <x v="0"/>
    <x v="0"/>
    <x v="0"/>
    <x v="0"/>
    <x v="2"/>
  </r>
  <r>
    <x v="17"/>
    <x v="5"/>
    <x v="2"/>
    <x v="1"/>
    <x v="19"/>
    <x v="0"/>
    <x v="2"/>
  </r>
  <r>
    <x v="17"/>
    <x v="5"/>
    <x v="2"/>
    <x v="1"/>
    <x v="19"/>
    <x v="0"/>
    <x v="2"/>
  </r>
  <r>
    <x v="17"/>
    <x v="5"/>
    <x v="2"/>
    <x v="1"/>
    <x v="7"/>
    <x v="0"/>
    <x v="2"/>
  </r>
  <r>
    <x v="17"/>
    <x v="5"/>
    <x v="179"/>
    <x v="5"/>
    <x v="44"/>
    <x v="0"/>
    <x v="2"/>
  </r>
  <r>
    <x v="17"/>
    <x v="5"/>
    <x v="87"/>
    <x v="1"/>
    <x v="25"/>
    <x v="0"/>
    <x v="2"/>
  </r>
  <r>
    <x v="17"/>
    <x v="5"/>
    <x v="180"/>
    <x v="7"/>
    <x v="15"/>
    <x v="0"/>
    <x v="2"/>
  </r>
  <r>
    <x v="17"/>
    <x v="5"/>
    <x v="8"/>
    <x v="4"/>
    <x v="9"/>
    <x v="0"/>
    <x v="2"/>
  </r>
  <r>
    <x v="17"/>
    <x v="5"/>
    <x v="181"/>
    <x v="14"/>
    <x v="8"/>
    <x v="0"/>
    <x v="2"/>
  </r>
  <r>
    <x v="17"/>
    <x v="5"/>
    <x v="31"/>
    <x v="0"/>
    <x v="19"/>
    <x v="0"/>
    <x v="2"/>
  </r>
  <r>
    <x v="17"/>
    <x v="5"/>
    <x v="67"/>
    <x v="9"/>
    <x v="2"/>
    <x v="0"/>
    <x v="2"/>
  </r>
  <r>
    <x v="17"/>
    <x v="5"/>
    <x v="87"/>
    <x v="1"/>
    <x v="15"/>
    <x v="0"/>
    <x v="2"/>
  </r>
  <r>
    <x v="17"/>
    <x v="5"/>
    <x v="8"/>
    <x v="4"/>
    <x v="9"/>
    <x v="0"/>
    <x v="2"/>
  </r>
  <r>
    <x v="17"/>
    <x v="5"/>
    <x v="8"/>
    <x v="4"/>
    <x v="9"/>
    <x v="0"/>
    <x v="2"/>
  </r>
  <r>
    <x v="17"/>
    <x v="5"/>
    <x v="2"/>
    <x v="1"/>
    <x v="68"/>
    <x v="0"/>
    <x v="2"/>
  </r>
  <r>
    <x v="17"/>
    <x v="5"/>
    <x v="26"/>
    <x v="11"/>
    <x v="20"/>
    <x v="0"/>
    <x v="2"/>
  </r>
  <r>
    <x v="17"/>
    <x v="5"/>
    <x v="154"/>
    <x v="6"/>
    <x v="19"/>
    <x v="0"/>
    <x v="2"/>
  </r>
  <r>
    <x v="17"/>
    <x v="5"/>
    <x v="182"/>
    <x v="7"/>
    <x v="8"/>
    <x v="0"/>
    <x v="2"/>
  </r>
  <r>
    <x v="17"/>
    <x v="5"/>
    <x v="8"/>
    <x v="4"/>
    <x v="2"/>
    <x v="0"/>
    <x v="2"/>
  </r>
  <r>
    <x v="17"/>
    <x v="5"/>
    <x v="31"/>
    <x v="0"/>
    <x v="19"/>
    <x v="0"/>
    <x v="2"/>
  </r>
  <r>
    <x v="17"/>
    <x v="5"/>
    <x v="183"/>
    <x v="1"/>
    <x v="9"/>
    <x v="0"/>
    <x v="2"/>
  </r>
  <r>
    <x v="17"/>
    <x v="5"/>
    <x v="184"/>
    <x v="1"/>
    <x v="6"/>
    <x v="0"/>
    <x v="2"/>
  </r>
  <r>
    <x v="17"/>
    <x v="5"/>
    <x v="185"/>
    <x v="1"/>
    <x v="27"/>
    <x v="0"/>
    <x v="2"/>
  </r>
  <r>
    <x v="17"/>
    <x v="5"/>
    <x v="186"/>
    <x v="1"/>
    <x v="15"/>
    <x v="0"/>
    <x v="2"/>
  </r>
  <r>
    <x v="17"/>
    <x v="5"/>
    <x v="187"/>
    <x v="1"/>
    <x v="35"/>
    <x v="0"/>
    <x v="2"/>
  </r>
  <r>
    <x v="17"/>
    <x v="5"/>
    <x v="184"/>
    <x v="8"/>
    <x v="15"/>
    <x v="0"/>
    <x v="2"/>
  </r>
  <r>
    <x v="17"/>
    <x v="5"/>
    <x v="31"/>
    <x v="0"/>
    <x v="18"/>
    <x v="0"/>
    <x v="2"/>
  </r>
  <r>
    <x v="17"/>
    <x v="5"/>
    <x v="188"/>
    <x v="2"/>
    <x v="15"/>
    <x v="0"/>
    <x v="2"/>
  </r>
  <r>
    <x v="17"/>
    <x v="5"/>
    <x v="8"/>
    <x v="4"/>
    <x v="9"/>
    <x v="0"/>
    <x v="2"/>
  </r>
  <r>
    <x v="17"/>
    <x v="5"/>
    <x v="2"/>
    <x v="1"/>
    <x v="35"/>
    <x v="0"/>
    <x v="2"/>
  </r>
  <r>
    <x v="17"/>
    <x v="5"/>
    <x v="189"/>
    <x v="1"/>
    <x v="42"/>
    <x v="0"/>
    <x v="2"/>
  </r>
  <r>
    <x v="18"/>
    <x v="0"/>
    <x v="2"/>
    <x v="1"/>
    <x v="10"/>
    <x v="1"/>
    <x v="3"/>
  </r>
  <r>
    <x v="18"/>
    <x v="0"/>
    <x v="154"/>
    <x v="6"/>
    <x v="1"/>
    <x v="1"/>
    <x v="3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  <r>
    <x v="19"/>
    <x v="6"/>
    <x v="190"/>
    <x v="17"/>
    <x v="69"/>
    <x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>
  <location ref="A3:B24" firstHeaderRow="1" firstDataRow="1" firstDataCol="1"/>
  <pivotFields count="7">
    <pivotField axis="axisRow" compact="0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compact="0" showAll="0"/>
    <pivotField compact="0" showAll="0"/>
    <pivotField compact="0" showAll="0"/>
    <pivotField dataField="1" compact="0" showAll="0">
      <items count="80">
        <item x="0"/>
        <item x="52"/>
        <item x="19"/>
        <item x="36"/>
        <item x="1"/>
        <item x="41"/>
        <item x="18"/>
        <item x="6"/>
        <item x="69"/>
        <item x="9"/>
        <item x="57"/>
        <item x="2"/>
        <item x="66"/>
        <item x="7"/>
        <item x="35"/>
        <item x="3"/>
        <item x="12"/>
        <item x="40"/>
        <item x="15"/>
        <item x="27"/>
        <item x="37"/>
        <item x="17"/>
        <item x="4"/>
        <item x="5"/>
        <item x="46"/>
        <item x="26"/>
        <item x="16"/>
        <item x="24"/>
        <item x="59"/>
        <item x="34"/>
        <item x="33"/>
        <item x="14"/>
        <item x="8"/>
        <item x="23"/>
        <item x="22"/>
        <item x="48"/>
        <item x="65"/>
        <item x="10"/>
        <item x="29"/>
        <item x="62"/>
        <item x="43"/>
        <item x="20"/>
        <item x="28"/>
        <item x="21"/>
        <item x="70"/>
        <item x="53"/>
        <item x="13"/>
        <item x="42"/>
        <item x="76"/>
        <item x="77"/>
        <item x="55"/>
        <item x="47"/>
        <item x="44"/>
        <item x="75"/>
        <item x="71"/>
        <item x="60"/>
        <item x="63"/>
        <item x="30"/>
        <item x="64"/>
        <item x="51"/>
        <item x="25"/>
        <item x="56"/>
        <item x="67"/>
        <item x="38"/>
        <item x="45"/>
        <item x="39"/>
        <item x="54"/>
        <item x="31"/>
        <item x="32"/>
        <item x="11"/>
        <item x="49"/>
        <item x="58"/>
        <item x="50"/>
        <item x="61"/>
        <item x="74"/>
        <item x="68"/>
        <item x="73"/>
        <item x="72"/>
        <item x="78"/>
        <item t="default"/>
      </items>
    </pivotField>
    <pivotField compact="0" showAll="0"/>
    <pivotField compact="0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Amount (KES)" fld="4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>
  <location ref="G4:H22" firstHeaderRow="1" firstDataRow="1" firstDataCol="1"/>
  <pivotFields count="7">
    <pivotField compact="0" numFmtId="182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showAll="0"/>
    <pivotField compact="0" showAll="0"/>
    <pivotField axis="axisRow" compact="0" showAll="0">
      <items count="18">
        <item x="11"/>
        <item x="14"/>
        <item x="6"/>
        <item x="16"/>
        <item x="7"/>
        <item x="13"/>
        <item x="8"/>
        <item x="5"/>
        <item x="2"/>
        <item x="15"/>
        <item x="4"/>
        <item x="0"/>
        <item x="10"/>
        <item x="1"/>
        <item x="9"/>
        <item x="12"/>
        <item x="3"/>
        <item t="default"/>
      </items>
    </pivotField>
    <pivotField dataField="1" compact="0" numFmtId="178" showAll="0">
      <items count="79">
        <item x="0"/>
        <item x="52"/>
        <item x="19"/>
        <item x="36"/>
        <item x="1"/>
        <item x="41"/>
        <item x="18"/>
        <item x="6"/>
        <item x="69"/>
        <item x="9"/>
        <item x="57"/>
        <item x="2"/>
        <item x="66"/>
        <item x="7"/>
        <item x="35"/>
        <item x="3"/>
        <item x="12"/>
        <item x="40"/>
        <item x="15"/>
        <item x="27"/>
        <item x="37"/>
        <item x="17"/>
        <item x="4"/>
        <item x="5"/>
        <item x="46"/>
        <item x="26"/>
        <item x="16"/>
        <item x="24"/>
        <item x="59"/>
        <item x="34"/>
        <item x="33"/>
        <item x="14"/>
        <item x="8"/>
        <item x="23"/>
        <item x="22"/>
        <item x="48"/>
        <item x="65"/>
        <item x="10"/>
        <item x="29"/>
        <item x="62"/>
        <item x="43"/>
        <item x="20"/>
        <item x="28"/>
        <item x="21"/>
        <item x="70"/>
        <item x="53"/>
        <item x="13"/>
        <item x="42"/>
        <item x="76"/>
        <item x="77"/>
        <item x="55"/>
        <item x="47"/>
        <item x="44"/>
        <item x="75"/>
        <item x="71"/>
        <item x="60"/>
        <item x="63"/>
        <item x="30"/>
        <item x="64"/>
        <item x="51"/>
        <item x="25"/>
        <item x="56"/>
        <item x="67"/>
        <item x="38"/>
        <item x="45"/>
        <item x="39"/>
        <item x="54"/>
        <item x="31"/>
        <item x="32"/>
        <item x="11"/>
        <item x="49"/>
        <item x="58"/>
        <item x="50"/>
        <item x="61"/>
        <item x="74"/>
        <item x="68"/>
        <item x="73"/>
        <item x="72"/>
        <item t="default"/>
      </items>
    </pivotField>
    <pivotField compact="0" showAll="0"/>
    <pivotField compact="0" showAll="0"/>
  </pivotFields>
  <rowFields count="1">
    <field x="3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Amount (KES)" fld="4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2">
  <location ref="J4:K7" firstHeaderRow="1" firstDataRow="1" firstDataCol="1"/>
  <pivotFields count="7">
    <pivotField compact="0" numFmtId="182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>
      <items count="222">
        <item x="125"/>
        <item x="186"/>
        <item x="70"/>
        <item x="126"/>
        <item x="113"/>
        <item x="92"/>
        <item x="169"/>
        <item x="203"/>
        <item x="63"/>
        <item x="159"/>
        <item x="39"/>
        <item x="44"/>
        <item x="124"/>
        <item x="38"/>
        <item x="219"/>
        <item x="217"/>
        <item x="26"/>
        <item x="20"/>
        <item x="75"/>
        <item x="213"/>
        <item x="90"/>
        <item x="185"/>
        <item x="106"/>
        <item x="211"/>
        <item x="206"/>
        <item x="210"/>
        <item x="190"/>
        <item x="208"/>
        <item x="161"/>
        <item x="155"/>
        <item x="16"/>
        <item x="147"/>
        <item x="1"/>
        <item x="30"/>
        <item x="31"/>
        <item x="173"/>
        <item x="115"/>
        <item x="94"/>
        <item x="71"/>
        <item x="46"/>
        <item x="158"/>
        <item x="9"/>
        <item x="102"/>
        <item x="37"/>
        <item x="104"/>
        <item x="101"/>
        <item x="67"/>
        <item x="135"/>
        <item x="178"/>
        <item x="198"/>
        <item x="179"/>
        <item x="196"/>
        <item x="215"/>
        <item x="7"/>
        <item x="12"/>
        <item x="157"/>
        <item x="176"/>
        <item x="197"/>
        <item x="82"/>
        <item x="64"/>
        <item x="11"/>
        <item x="19"/>
        <item x="130"/>
        <item x="27"/>
        <item x="110"/>
        <item x="121"/>
        <item x="118"/>
        <item x="81"/>
        <item x="174"/>
        <item x="76"/>
        <item x="4"/>
        <item x="22"/>
        <item x="36"/>
        <item x="127"/>
        <item x="74"/>
        <item x="98"/>
        <item x="160"/>
        <item x="56"/>
        <item x="214"/>
        <item x="84"/>
        <item x="218"/>
        <item x="41"/>
        <item x="8"/>
        <item x="100"/>
        <item x="137"/>
        <item x="144"/>
        <item x="151"/>
        <item x="122"/>
        <item x="10"/>
        <item x="62"/>
        <item x="21"/>
        <item x="69"/>
        <item x="150"/>
        <item x="49"/>
        <item x="99"/>
        <item x="202"/>
        <item x="108"/>
        <item x="154"/>
        <item x="105"/>
        <item x="148"/>
        <item x="91"/>
        <item x="134"/>
        <item x="152"/>
        <item x="54"/>
        <item x="140"/>
        <item x="136"/>
        <item x="57"/>
        <item x="50"/>
        <item x="181"/>
        <item x="182"/>
        <item x="6"/>
        <item x="149"/>
        <item x="14"/>
        <item x="142"/>
        <item x="93"/>
        <item x="165"/>
        <item x="43"/>
        <item x="107"/>
        <item x="195"/>
        <item x="48"/>
        <item x="209"/>
        <item x="205"/>
        <item x="143"/>
        <item x="79"/>
        <item x="138"/>
        <item x="13"/>
        <item x="3"/>
        <item x="131"/>
        <item x="34"/>
        <item x="103"/>
        <item x="132"/>
        <item x="45"/>
        <item x="212"/>
        <item x="33"/>
        <item x="194"/>
        <item x="183"/>
        <item x="164"/>
        <item x="17"/>
        <item x="128"/>
        <item x="111"/>
        <item x="170"/>
        <item x="18"/>
        <item x="171"/>
        <item x="114"/>
        <item x="187"/>
        <item x="85"/>
        <item x="163"/>
        <item x="42"/>
        <item x="0"/>
        <item x="167"/>
        <item x="116"/>
        <item x="24"/>
        <item x="23"/>
        <item x="189"/>
        <item x="146"/>
        <item x="32"/>
        <item x="153"/>
        <item x="72"/>
        <item x="58"/>
        <item x="52"/>
        <item x="61"/>
        <item x="35"/>
        <item x="40"/>
        <item x="60"/>
        <item x="88"/>
        <item x="139"/>
        <item x="89"/>
        <item x="78"/>
        <item x="66"/>
        <item x="59"/>
        <item x="172"/>
        <item x="55"/>
        <item x="129"/>
        <item x="53"/>
        <item x="68"/>
        <item x="86"/>
        <item x="65"/>
        <item x="156"/>
        <item x="162"/>
        <item x="2"/>
        <item x="204"/>
        <item x="220"/>
        <item x="83"/>
        <item x="180"/>
        <item x="175"/>
        <item x="25"/>
        <item x="199"/>
        <item x="201"/>
        <item x="112"/>
        <item x="95"/>
        <item x="80"/>
        <item x="97"/>
        <item x="177"/>
        <item x="200"/>
        <item x="168"/>
        <item x="96"/>
        <item x="207"/>
        <item x="77"/>
        <item x="191"/>
        <item x="184"/>
        <item x="216"/>
        <item x="117"/>
        <item x="188"/>
        <item x="47"/>
        <item x="15"/>
        <item x="145"/>
        <item x="51"/>
        <item x="166"/>
        <item x="73"/>
        <item x="28"/>
        <item x="119"/>
        <item x="120"/>
        <item x="133"/>
        <item x="109"/>
        <item x="5"/>
        <item x="29"/>
        <item x="141"/>
        <item x="87"/>
        <item x="192"/>
        <item x="193"/>
        <item x="123"/>
        <item t="default"/>
      </items>
    </pivotField>
    <pivotField compact="0" showAll="0">
      <items count="18">
        <item x="11"/>
        <item x="14"/>
        <item x="6"/>
        <item x="16"/>
        <item x="7"/>
        <item x="13"/>
        <item x="8"/>
        <item x="5"/>
        <item x="2"/>
        <item x="15"/>
        <item x="4"/>
        <item x="0"/>
        <item x="10"/>
        <item x="1"/>
        <item x="9"/>
        <item x="12"/>
        <item x="3"/>
        <item t="default"/>
      </items>
    </pivotField>
    <pivotField dataField="1" compact="0" numFmtId="178" showAll="0">
      <items count="79">
        <item x="0"/>
        <item x="52"/>
        <item x="19"/>
        <item x="36"/>
        <item x="1"/>
        <item x="41"/>
        <item x="18"/>
        <item x="6"/>
        <item x="69"/>
        <item x="9"/>
        <item x="57"/>
        <item x="2"/>
        <item x="66"/>
        <item x="7"/>
        <item x="35"/>
        <item x="3"/>
        <item x="12"/>
        <item x="40"/>
        <item x="15"/>
        <item x="27"/>
        <item x="37"/>
        <item x="17"/>
        <item x="4"/>
        <item x="5"/>
        <item x="46"/>
        <item x="26"/>
        <item x="16"/>
        <item x="24"/>
        <item x="59"/>
        <item x="34"/>
        <item x="33"/>
        <item x="14"/>
        <item x="8"/>
        <item x="23"/>
        <item x="22"/>
        <item x="48"/>
        <item x="65"/>
        <item x="10"/>
        <item x="29"/>
        <item x="62"/>
        <item x="43"/>
        <item x="20"/>
        <item x="28"/>
        <item x="21"/>
        <item x="70"/>
        <item x="53"/>
        <item x="13"/>
        <item x="42"/>
        <item x="76"/>
        <item x="77"/>
        <item x="55"/>
        <item x="47"/>
        <item x="44"/>
        <item x="75"/>
        <item x="71"/>
        <item x="60"/>
        <item x="63"/>
        <item x="30"/>
        <item x="64"/>
        <item x="51"/>
        <item x="25"/>
        <item x="56"/>
        <item x="67"/>
        <item x="38"/>
        <item x="45"/>
        <item x="39"/>
        <item x="54"/>
        <item x="31"/>
        <item x="32"/>
        <item x="11"/>
        <item x="49"/>
        <item x="58"/>
        <item x="50"/>
        <item x="61"/>
        <item x="74"/>
        <item x="68"/>
        <item x="73"/>
        <item x="72"/>
        <item t="default"/>
      </items>
    </pivotField>
    <pivotField axis="axisRow" compact="0" sortType="descending" showAll="0">
      <items count="3">
        <item x="0"/>
        <item x="1"/>
        <item t="default"/>
      </items>
    </pivotField>
    <pivotField compact="0" showAll="0">
      <items count="5">
        <item x="0"/>
        <item x="1"/>
        <item x="2"/>
        <item x="3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Sum of Amount (KES)" fld="4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>
  <location ref="J11:K16" firstHeaderRow="1" firstDataRow="1" firstDataCol="1"/>
  <pivotFields count="7">
    <pivotField compact="0" numFmtId="182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showAll="0"/>
    <pivotField compact="0" showAll="0"/>
    <pivotField compact="0" showAll="0"/>
    <pivotField dataField="1" compact="0" numFmtId="178" showAll="0">
      <items count="79">
        <item x="0"/>
        <item x="52"/>
        <item x="19"/>
        <item x="36"/>
        <item x="1"/>
        <item x="41"/>
        <item x="18"/>
        <item x="6"/>
        <item x="69"/>
        <item x="9"/>
        <item x="57"/>
        <item x="2"/>
        <item x="66"/>
        <item x="7"/>
        <item x="35"/>
        <item x="3"/>
        <item x="12"/>
        <item x="40"/>
        <item x="15"/>
        <item x="27"/>
        <item x="37"/>
        <item x="17"/>
        <item x="4"/>
        <item x="5"/>
        <item x="46"/>
        <item x="26"/>
        <item x="16"/>
        <item x="24"/>
        <item x="59"/>
        <item x="34"/>
        <item x="33"/>
        <item x="14"/>
        <item x="8"/>
        <item x="23"/>
        <item x="22"/>
        <item x="48"/>
        <item x="65"/>
        <item x="10"/>
        <item x="29"/>
        <item x="62"/>
        <item x="43"/>
        <item x="20"/>
        <item x="28"/>
        <item x="21"/>
        <item x="70"/>
        <item x="53"/>
        <item x="13"/>
        <item x="42"/>
        <item x="76"/>
        <item x="77"/>
        <item x="55"/>
        <item x="47"/>
        <item x="44"/>
        <item x="75"/>
        <item x="71"/>
        <item x="60"/>
        <item x="63"/>
        <item x="30"/>
        <item x="64"/>
        <item x="51"/>
        <item x="25"/>
        <item x="56"/>
        <item x="67"/>
        <item x="38"/>
        <item x="45"/>
        <item x="39"/>
        <item x="54"/>
        <item x="31"/>
        <item x="32"/>
        <item x="11"/>
        <item x="49"/>
        <item x="58"/>
        <item x="50"/>
        <item x="61"/>
        <item x="74"/>
        <item x="68"/>
        <item x="73"/>
        <item x="72"/>
        <item t="default"/>
      </items>
    </pivotField>
    <pivotField compact="0" showAll="0"/>
    <pivotField axis="axisRow" compact="0" showAll="0">
      <items count="5">
        <item x="0"/>
        <item x="1"/>
        <item x="2"/>
        <item x="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mount (KES)" fld="4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7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2">
  <location ref="J19:K26" firstHeaderRow="1" firstDataRow="1" firstDataCol="1"/>
  <pivotFields count="7">
    <pivotField compact="0" numFmtId="182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>
      <items count="222">
        <item x="125"/>
        <item x="186"/>
        <item x="70"/>
        <item x="126"/>
        <item x="113"/>
        <item x="92"/>
        <item x="169"/>
        <item x="203"/>
        <item x="63"/>
        <item x="159"/>
        <item x="39"/>
        <item x="44"/>
        <item x="124"/>
        <item x="38"/>
        <item x="219"/>
        <item x="217"/>
        <item x="26"/>
        <item x="20"/>
        <item x="75"/>
        <item x="213"/>
        <item x="90"/>
        <item x="185"/>
        <item x="106"/>
        <item x="211"/>
        <item x="206"/>
        <item x="210"/>
        <item x="190"/>
        <item x="208"/>
        <item x="161"/>
        <item x="155"/>
        <item x="16"/>
        <item x="147"/>
        <item x="1"/>
        <item x="30"/>
        <item x="31"/>
        <item x="173"/>
        <item x="115"/>
        <item x="94"/>
        <item x="71"/>
        <item x="46"/>
        <item x="158"/>
        <item x="9"/>
        <item x="102"/>
        <item x="37"/>
        <item x="104"/>
        <item x="101"/>
        <item x="67"/>
        <item x="135"/>
        <item x="178"/>
        <item x="198"/>
        <item x="179"/>
        <item x="196"/>
        <item x="215"/>
        <item x="7"/>
        <item x="12"/>
        <item x="157"/>
        <item x="176"/>
        <item x="197"/>
        <item x="82"/>
        <item x="64"/>
        <item x="11"/>
        <item x="19"/>
        <item x="130"/>
        <item x="27"/>
        <item x="110"/>
        <item x="121"/>
        <item x="118"/>
        <item x="81"/>
        <item x="174"/>
        <item x="76"/>
        <item x="4"/>
        <item x="22"/>
        <item x="36"/>
        <item x="127"/>
        <item x="74"/>
        <item x="98"/>
        <item x="160"/>
        <item x="56"/>
        <item x="214"/>
        <item x="84"/>
        <item x="218"/>
        <item x="41"/>
        <item x="8"/>
        <item x="100"/>
        <item x="137"/>
        <item x="144"/>
        <item x="151"/>
        <item x="122"/>
        <item x="10"/>
        <item x="62"/>
        <item x="21"/>
        <item x="69"/>
        <item x="150"/>
        <item x="49"/>
        <item x="99"/>
        <item x="202"/>
        <item x="108"/>
        <item x="154"/>
        <item x="105"/>
        <item x="148"/>
        <item x="91"/>
        <item x="134"/>
        <item x="152"/>
        <item x="54"/>
        <item x="140"/>
        <item x="136"/>
        <item x="57"/>
        <item x="50"/>
        <item x="181"/>
        <item x="182"/>
        <item x="6"/>
        <item x="149"/>
        <item x="14"/>
        <item x="142"/>
        <item x="93"/>
        <item x="165"/>
        <item x="43"/>
        <item x="107"/>
        <item x="195"/>
        <item x="48"/>
        <item x="209"/>
        <item x="205"/>
        <item x="143"/>
        <item x="79"/>
        <item x="138"/>
        <item x="13"/>
        <item x="3"/>
        <item x="131"/>
        <item x="34"/>
        <item x="103"/>
        <item x="132"/>
        <item x="45"/>
        <item x="212"/>
        <item x="33"/>
        <item x="194"/>
        <item x="183"/>
        <item x="164"/>
        <item x="17"/>
        <item x="128"/>
        <item x="111"/>
        <item x="170"/>
        <item x="18"/>
        <item x="171"/>
        <item x="114"/>
        <item x="187"/>
        <item x="85"/>
        <item x="163"/>
        <item x="42"/>
        <item x="0"/>
        <item x="167"/>
        <item x="116"/>
        <item x="24"/>
        <item x="23"/>
        <item x="189"/>
        <item x="146"/>
        <item x="32"/>
        <item x="153"/>
        <item x="72"/>
        <item x="58"/>
        <item x="52"/>
        <item x="61"/>
        <item x="35"/>
        <item x="40"/>
        <item x="60"/>
        <item x="88"/>
        <item x="139"/>
        <item x="89"/>
        <item x="78"/>
        <item x="66"/>
        <item x="59"/>
        <item x="172"/>
        <item x="55"/>
        <item x="129"/>
        <item x="53"/>
        <item x="68"/>
        <item x="86"/>
        <item x="65"/>
        <item x="156"/>
        <item x="162"/>
        <item x="2"/>
        <item x="204"/>
        <item x="220"/>
        <item x="83"/>
        <item x="180"/>
        <item x="175"/>
        <item x="25"/>
        <item x="199"/>
        <item x="201"/>
        <item x="112"/>
        <item x="95"/>
        <item x="80"/>
        <item x="97"/>
        <item x="177"/>
        <item x="200"/>
        <item x="168"/>
        <item x="96"/>
        <item x="207"/>
        <item x="77"/>
        <item x="191"/>
        <item x="184"/>
        <item x="216"/>
        <item x="117"/>
        <item x="188"/>
        <item x="47"/>
        <item x="15"/>
        <item x="145"/>
        <item x="51"/>
        <item x="166"/>
        <item x="73"/>
        <item x="28"/>
        <item x="119"/>
        <item x="120"/>
        <item x="133"/>
        <item x="109"/>
        <item x="5"/>
        <item x="29"/>
        <item x="141"/>
        <item x="87"/>
        <item x="192"/>
        <item x="193"/>
        <item x="123"/>
        <item t="default"/>
      </items>
    </pivotField>
    <pivotField compact="0" showAll="0">
      <items count="18">
        <item x="11"/>
        <item x="14"/>
        <item x="6"/>
        <item x="16"/>
        <item x="7"/>
        <item x="13"/>
        <item x="8"/>
        <item x="5"/>
        <item x="2"/>
        <item x="15"/>
        <item x="4"/>
        <item x="0"/>
        <item x="10"/>
        <item x="1"/>
        <item x="9"/>
        <item x="12"/>
        <item x="3"/>
        <item t="default"/>
      </items>
    </pivotField>
    <pivotField dataField="1" compact="0" numFmtId="178" showAll="0">
      <items count="79">
        <item x="0"/>
        <item x="52"/>
        <item x="19"/>
        <item x="36"/>
        <item x="1"/>
        <item x="41"/>
        <item x="18"/>
        <item x="6"/>
        <item x="69"/>
        <item x="9"/>
        <item x="57"/>
        <item x="2"/>
        <item x="66"/>
        <item x="7"/>
        <item x="35"/>
        <item x="3"/>
        <item x="12"/>
        <item x="40"/>
        <item x="15"/>
        <item x="27"/>
        <item x="37"/>
        <item x="17"/>
        <item x="4"/>
        <item x="5"/>
        <item x="46"/>
        <item x="26"/>
        <item x="16"/>
        <item x="24"/>
        <item x="59"/>
        <item x="34"/>
        <item x="33"/>
        <item x="14"/>
        <item x="8"/>
        <item x="23"/>
        <item x="22"/>
        <item x="48"/>
        <item x="65"/>
        <item x="10"/>
        <item x="29"/>
        <item x="62"/>
        <item x="43"/>
        <item x="20"/>
        <item x="28"/>
        <item x="21"/>
        <item x="70"/>
        <item x="53"/>
        <item x="13"/>
        <item x="42"/>
        <item x="76"/>
        <item x="77"/>
        <item x="55"/>
        <item x="47"/>
        <item x="44"/>
        <item x="75"/>
        <item x="71"/>
        <item x="60"/>
        <item x="63"/>
        <item x="30"/>
        <item x="64"/>
        <item x="51"/>
        <item x="25"/>
        <item x="56"/>
        <item x="67"/>
        <item x="38"/>
        <item x="45"/>
        <item x="39"/>
        <item x="54"/>
        <item x="31"/>
        <item x="32"/>
        <item x="11"/>
        <item x="49"/>
        <item x="58"/>
        <item x="50"/>
        <item x="61"/>
        <item x="74"/>
        <item x="68"/>
        <item x="73"/>
        <item x="72"/>
        <item t="default"/>
      </items>
    </pivotField>
    <pivotField compact="0" showAll="0">
      <items count="3">
        <item x="1"/>
        <item x="0"/>
        <item t="default"/>
      </items>
    </pivotField>
    <pivotField compact="0"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 (KES)" fld="4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9" cacheId="2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2">
  <location ref="D4:E10" firstHeaderRow="1" firstDataRow="1" firstDataCol="1"/>
  <pivotFields count="7">
    <pivotField compact="0" showAll="0">
      <items count="21"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measureFilter="1" compact="0" sortType="descending" showAll="0">
      <items count="192">
        <item x="190"/>
        <item x="113"/>
        <item x="161"/>
        <item x="86"/>
        <item x="147"/>
        <item x="112"/>
        <item x="59"/>
        <item x="38"/>
        <item x="187"/>
        <item x="183"/>
        <item x="26"/>
        <item x="20"/>
        <item x="69"/>
        <item x="84"/>
        <item x="160"/>
        <item x="99"/>
        <item x="181"/>
        <item x="165"/>
        <item x="176"/>
        <item x="180"/>
        <item x="164"/>
        <item x="178"/>
        <item x="140"/>
        <item x="137"/>
        <item x="16"/>
        <item x="131"/>
        <item x="1"/>
        <item x="30"/>
        <item x="31"/>
        <item x="151"/>
        <item x="105"/>
        <item x="88"/>
        <item x="65"/>
        <item x="44"/>
        <item x="103"/>
        <item x="9"/>
        <item x="95"/>
        <item x="37"/>
        <item x="97"/>
        <item x="94"/>
        <item x="63"/>
        <item x="119"/>
        <item x="156"/>
        <item x="169"/>
        <item x="157"/>
        <item x="167"/>
        <item x="185"/>
        <item x="7"/>
        <item x="12"/>
        <item x="139"/>
        <item x="154"/>
        <item x="168"/>
        <item x="76"/>
        <item x="60"/>
        <item x="11"/>
        <item x="19"/>
        <item x="116"/>
        <item x="27"/>
        <item x="101"/>
        <item x="109"/>
        <item x="108"/>
        <item x="75"/>
        <item x="152"/>
        <item x="70"/>
        <item x="4"/>
        <item x="22"/>
        <item x="114"/>
        <item x="68"/>
        <item x="92"/>
        <item x="36"/>
        <item x="53"/>
        <item x="184"/>
        <item x="78"/>
        <item x="40"/>
        <item x="8"/>
        <item x="93"/>
        <item x="121"/>
        <item x="128"/>
        <item x="134"/>
        <item x="110"/>
        <item x="10"/>
        <item x="58"/>
        <item x="21"/>
        <item x="47"/>
        <item x="173"/>
        <item x="100"/>
        <item x="136"/>
        <item x="135"/>
        <item x="51"/>
        <item x="124"/>
        <item x="120"/>
        <item x="6"/>
        <item x="133"/>
        <item x="14"/>
        <item x="127"/>
        <item x="87"/>
        <item x="143"/>
        <item x="42"/>
        <item x="166"/>
        <item x="46"/>
        <item x="188"/>
        <item x="179"/>
        <item x="175"/>
        <item x="73"/>
        <item x="122"/>
        <item x="13"/>
        <item x="3"/>
        <item x="117"/>
        <item x="34"/>
        <item x="96"/>
        <item x="118"/>
        <item x="125"/>
        <item x="43"/>
        <item x="33"/>
        <item x="182"/>
        <item x="17"/>
        <item x="148"/>
        <item x="18"/>
        <item x="149"/>
        <item x="104"/>
        <item x="162"/>
        <item x="79"/>
        <item x="142"/>
        <item x="41"/>
        <item x="0"/>
        <item x="145"/>
        <item x="106"/>
        <item x="24"/>
        <item x="23"/>
        <item x="163"/>
        <item x="130"/>
        <item x="32"/>
        <item x="66"/>
        <item x="54"/>
        <item x="49"/>
        <item x="57"/>
        <item x="35"/>
        <item x="39"/>
        <item x="56"/>
        <item x="82"/>
        <item x="123"/>
        <item x="83"/>
        <item x="72"/>
        <item x="62"/>
        <item x="55"/>
        <item x="150"/>
        <item x="52"/>
        <item x="115"/>
        <item x="50"/>
        <item x="64"/>
        <item x="80"/>
        <item x="61"/>
        <item x="138"/>
        <item x="141"/>
        <item x="2"/>
        <item x="174"/>
        <item x="189"/>
        <item x="77"/>
        <item x="158"/>
        <item x="153"/>
        <item x="25"/>
        <item x="170"/>
        <item x="172"/>
        <item x="102"/>
        <item x="89"/>
        <item x="74"/>
        <item x="91"/>
        <item x="155"/>
        <item x="171"/>
        <item x="146"/>
        <item x="90"/>
        <item x="177"/>
        <item x="71"/>
        <item x="159"/>
        <item x="186"/>
        <item x="107"/>
        <item x="45"/>
        <item x="15"/>
        <item x="129"/>
        <item x="48"/>
        <item x="144"/>
        <item x="67"/>
        <item x="98"/>
        <item x="132"/>
        <item x="85"/>
        <item x="28"/>
        <item x="5"/>
        <item x="29"/>
        <item x="126"/>
        <item x="81"/>
        <item x="111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howAll="0">
      <items count="19">
        <item x="17"/>
        <item x="11"/>
        <item x="15"/>
        <item x="5"/>
        <item x="16"/>
        <item x="6"/>
        <item x="14"/>
        <item x="8"/>
        <item x="4"/>
        <item x="2"/>
        <item x="7"/>
        <item x="13"/>
        <item x="0"/>
        <item x="10"/>
        <item x="1"/>
        <item x="9"/>
        <item x="12"/>
        <item x="3"/>
        <item t="default"/>
      </items>
    </pivotField>
    <pivotField dataField="1" compact="0" showAll="0">
      <items count="71">
        <item x="0"/>
        <item x="47"/>
        <item x="19"/>
        <item x="32"/>
        <item x="1"/>
        <item x="38"/>
        <item x="18"/>
        <item x="6"/>
        <item x="59"/>
        <item x="9"/>
        <item x="51"/>
        <item x="2"/>
        <item x="58"/>
        <item x="7"/>
        <item x="31"/>
        <item x="3"/>
        <item x="12"/>
        <item x="37"/>
        <item x="15"/>
        <item x="26"/>
        <item x="33"/>
        <item x="17"/>
        <item x="4"/>
        <item x="5"/>
        <item x="42"/>
        <item x="25"/>
        <item x="16"/>
        <item x="24"/>
        <item x="53"/>
        <item x="30"/>
        <item x="65"/>
        <item x="14"/>
        <item x="8"/>
        <item x="23"/>
        <item x="22"/>
        <item x="43"/>
        <item x="57"/>
        <item x="10"/>
        <item x="27"/>
        <item x="55"/>
        <item x="40"/>
        <item x="20"/>
        <item x="35"/>
        <item x="21"/>
        <item x="60"/>
        <item x="48"/>
        <item x="13"/>
        <item x="39"/>
        <item x="67"/>
        <item x="68"/>
        <item x="50"/>
        <item x="44"/>
        <item x="41"/>
        <item x="66"/>
        <item x="61"/>
        <item x="54"/>
        <item x="28"/>
        <item x="56"/>
        <item x="46"/>
        <item x="64"/>
        <item x="34"/>
        <item x="36"/>
        <item x="49"/>
        <item x="63"/>
        <item x="29"/>
        <item x="11"/>
        <item x="45"/>
        <item x="52"/>
        <item x="62"/>
        <item x="69"/>
        <item t="default"/>
      </items>
    </pivotField>
    <pivotField compact="0" showAll="0">
      <items count="4">
        <item x="2"/>
        <item x="1"/>
        <item x="0"/>
        <item t="default"/>
      </items>
    </pivotField>
    <pivotField compact="0" showAll="0">
      <items count="6">
        <item x="0"/>
        <item x="1"/>
        <item x="2"/>
        <item x="3"/>
        <item x="4"/>
        <item t="default"/>
      </items>
    </pivotField>
  </pivotFields>
  <rowFields count="1">
    <field x="2"/>
  </rowFields>
  <rowItems count="6">
    <i>
      <x v="154"/>
    </i>
    <i>
      <x v="20"/>
    </i>
    <i>
      <x v="74"/>
    </i>
    <i>
      <x v="35"/>
    </i>
    <i>
      <x v="17"/>
    </i>
    <i t="grand">
      <x/>
    </i>
  </rowItems>
  <colItems count="1">
    <i/>
  </colItems>
  <dataFields count="1">
    <dataField name="Sum of Amount (KES)" fld="4" baseField="0" baseItem="0"/>
  </dataFields>
  <pivotTableStyleInfo name="PivotStylePreset2_Accent1" showRowHeaders="1" showColHeaders="1"/>
  <filters count="1">
    <filter evalOrder="-1" fld="2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RawData" displayName="tblRawData" ref="A1:G1640">
  <autoFilter xmlns:etc="http://www.wps.cn/officeDocument/2017/etCustomData" ref="A1:G1640" etc:filterBottomFollowUsedRange="0"/>
  <tableColumns count="7">
    <tableColumn id="1" name="Date" dataDxfId="0"/>
    <tableColumn id="2" name="Day" dataDxfId="1"/>
    <tableColumn id="3" name="Service Description" dataDxfId="2"/>
    <tableColumn id="4" name="Category" dataDxfId="3"/>
    <tableColumn id="5" name="Amount (KES)" dataDxfId="4"/>
    <tableColumn id="8" name="Month" dataDxfId="5"/>
    <tableColumn id="9" name="Week" dataDxfId="6"/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WPS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874CB"/>
    </a:accent1>
    <a:accent2>
      <a:srgbClr val="EE822F"/>
    </a:accent2>
    <a:accent3>
      <a:srgbClr val="F2BA02"/>
    </a:accent3>
    <a:accent4>
      <a:srgbClr val="75BD42"/>
    </a:accent4>
    <a:accent5>
      <a:srgbClr val="30C0B4"/>
    </a:accent5>
    <a:accent6>
      <a:srgbClr val="E54C5E"/>
    </a:accent6>
    <a:hlink>
      <a:srgbClr val="0026E5"/>
    </a:hlink>
    <a:folHlink>
      <a:srgbClr val="7E1FAD"/>
    </a:folHlink>
  </a:clrScheme>
  <a:fontScheme name="WPS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WPS">
    <a:fillStyleLst>
      <a:solidFill>
        <a:schemeClr val="phClr"/>
      </a:solidFill>
      <a:gradFill>
        <a:gsLst>
          <a:gs pos="0">
            <a:schemeClr val="phClr">
              <a:lumOff val="17500"/>
            </a:schemeClr>
          </a:gs>
          <a:gs pos="100000">
            <a:schemeClr val="phClr"/>
          </a:gs>
        </a:gsLst>
        <a:lin ang="2700000" scaled="0"/>
      </a:gradFill>
      <a:gradFill>
        <a:gsLst>
          <a:gs pos="0">
            <a:schemeClr val="phClr">
              <a:hueOff val="-2520000"/>
            </a:schemeClr>
          </a:gs>
          <a:gs pos="100000">
            <a:schemeClr val="phClr"/>
          </a:gs>
        </a:gsLst>
        <a:lin ang="27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2700" cap="flat" cmpd="sng" algn="ctr">
        <a:gradFill>
          <a:gsLst>
            <a:gs pos="0">
              <a:schemeClr val="phClr">
                <a:hueOff val="-4200000"/>
              </a:schemeClr>
            </a:gs>
            <a:gs pos="100000">
              <a:schemeClr val="phClr"/>
            </a:gs>
          </a:gsLst>
          <a:lin ang="2700000" scaled="1"/>
        </a:gradFill>
        <a:prstDash val="solid"/>
        <a:miter lim="800000"/>
      </a:ln>
    </a:lnStyleLst>
    <a:effectStyleLst>
      <a:effectStyle>
        <a:effectLst>
          <a:outerShdw blurRad="101600" dist="50800" dir="5400000" algn="ctr" rotWithShape="0">
            <a:schemeClr val="phClr">
              <a:alpha val="60000"/>
            </a:schemeClr>
          </a:outerShdw>
        </a:effectLst>
      </a:effectStyle>
      <a:effectStyle>
        <a:effectLst>
          <a:reflection stA="50000" endA="300" endPos="40000" dist="25400" dir="5400000" sy="-100000" algn="bl" rotWithShape="0"/>
        </a:effectLst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自定义 3">
    <a:dk1>
      <a:srgbClr val="000000"/>
    </a:dk1>
    <a:lt1>
      <a:srgbClr val="FFFFFF"/>
    </a:lt1>
    <a:dk2>
      <a:srgbClr val="44546A"/>
    </a:dk2>
    <a:lt2>
      <a:srgbClr val="E7E6E6"/>
    </a:lt2>
    <a:accent1>
      <a:srgbClr val="EE5796"/>
    </a:accent1>
    <a:accent2>
      <a:srgbClr val="F9B525"/>
    </a:accent2>
    <a:accent3>
      <a:srgbClr val="6D78FA"/>
    </a:accent3>
    <a:accent4>
      <a:srgbClr val="0EE2EF"/>
    </a:accent4>
    <a:accent5>
      <a:srgbClr val="93DE03"/>
    </a:accent5>
    <a:accent6>
      <a:srgbClr val="F5F804"/>
    </a:accent6>
    <a:hlink>
      <a:srgbClr val="0026E5"/>
    </a:hlink>
    <a:folHlink>
      <a:srgbClr val="7E1FAD"/>
    </a:folHlink>
  </a:clrScheme>
  <a:fontScheme name="WPS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WPS">
    <a:fillStyleLst>
      <a:solidFill>
        <a:schemeClr val="phClr"/>
      </a:solidFill>
      <a:gradFill>
        <a:gsLst>
          <a:gs pos="0">
            <a:schemeClr val="phClr">
              <a:lumOff val="17500"/>
            </a:schemeClr>
          </a:gs>
          <a:gs pos="100000">
            <a:schemeClr val="phClr"/>
          </a:gs>
        </a:gsLst>
        <a:lin ang="2700000" scaled="0"/>
      </a:gradFill>
      <a:gradFill>
        <a:gsLst>
          <a:gs pos="0">
            <a:schemeClr val="phClr">
              <a:hueOff val="-2520000"/>
            </a:schemeClr>
          </a:gs>
          <a:gs pos="100000">
            <a:schemeClr val="phClr"/>
          </a:gs>
        </a:gsLst>
        <a:lin ang="27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2700" cap="flat" cmpd="sng" algn="ctr">
        <a:gradFill>
          <a:gsLst>
            <a:gs pos="0">
              <a:schemeClr val="phClr">
                <a:hueOff val="-4200000"/>
              </a:schemeClr>
            </a:gs>
            <a:gs pos="100000">
              <a:schemeClr val="phClr"/>
            </a:gs>
          </a:gsLst>
          <a:lin ang="2700000" scaled="1"/>
        </a:gradFill>
        <a:prstDash val="solid"/>
        <a:miter lim="800000"/>
      </a:ln>
    </a:lnStyleLst>
    <a:effectStyleLst>
      <a:effectStyle>
        <a:effectLst>
          <a:outerShdw blurRad="101600" dist="50800" dir="5400000" algn="ctr" rotWithShape="0">
            <a:schemeClr val="phClr">
              <a:alpha val="60000"/>
            </a:schemeClr>
          </a:outerShdw>
        </a:effectLst>
      </a:effectStyle>
      <a:effectStyle>
        <a:effectLst>
          <a:reflection stA="50000" endA="300" endPos="40000" dist="25400" dir="5400000" sy="-100000" algn="bl" rotWithShape="0"/>
        </a:effectLst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2B8313"/>
  </sheetPr>
  <dimension ref="A1:H220"/>
  <sheetViews>
    <sheetView workbookViewId="0">
      <selection activeCell="C2" sqref="C2"/>
    </sheetView>
  </sheetViews>
  <sheetFormatPr defaultColWidth="9.14285714285714" defaultRowHeight="15" outlineLevelCol="7"/>
  <cols>
    <col min="1" max="1" width="10.4285714285714" customWidth="1"/>
    <col min="2" max="2" width="12.2857142857143" customWidth="1"/>
    <col min="3" max="3" width="13.4285714285714" customWidth="1"/>
    <col min="4" max="4" width="11.2857142857143" customWidth="1"/>
    <col min="5" max="5" width="12.4285714285714" customWidth="1"/>
    <col min="6" max="6" width="15.2857142857143" customWidth="1"/>
    <col min="7" max="7" width="11.8571428571429" customWidth="1"/>
    <col min="8" max="8" width="24.8571428571429" customWidth="1"/>
  </cols>
  <sheetData>
    <row r="1" ht="30" spans="1:8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28" t="s">
        <v>5</v>
      </c>
      <c r="G1" s="47" t="s">
        <v>6</v>
      </c>
      <c r="H1" s="47" t="s">
        <v>7</v>
      </c>
    </row>
    <row r="2" spans="1:8">
      <c r="A2" s="9"/>
      <c r="C2" s="8"/>
    </row>
    <row r="3" spans="1:8">
      <c r="C3" s="8" t="str">
        <f>IFERROR(VLOOKUP(B3,LOOKUPS!A:B,2,FALSE),"")</f>
        <v/>
      </c>
    </row>
    <row r="4" spans="1:8">
      <c r="C4" s="8" t="str">
        <f>IFERROR(VLOOKUP(B4,LOOKUPS!A:B,2,FALSE),"")</f>
        <v/>
      </c>
    </row>
    <row r="5" spans="1:8">
      <c r="C5" s="8" t="str">
        <f>IFERROR(VLOOKUP(B5,LOOKUPS!A:B,2,FALSE),"")</f>
        <v/>
      </c>
    </row>
    <row r="6" spans="1:8">
      <c r="C6" s="8" t="str">
        <f>IFERROR(VLOOKUP(B6,LOOKUPS!A:B,2,FALSE),"")</f>
        <v/>
      </c>
    </row>
    <row r="7" spans="1:8">
      <c r="C7" s="8" t="str">
        <f>IFERROR(VLOOKUP(B7,LOOKUPS!A:B,2,FALSE),"")</f>
        <v/>
      </c>
    </row>
    <row r="8" spans="1:8">
      <c r="C8" s="8" t="str">
        <f>IFERROR(VLOOKUP(B8,LOOKUPS!A:B,2,FALSE),"")</f>
        <v/>
      </c>
    </row>
    <row r="9" spans="1:8">
      <c r="C9" s="8" t="str">
        <f>IFERROR(VLOOKUP(B9,LOOKUPS!A:B,2,FALSE),"")</f>
        <v/>
      </c>
    </row>
    <row r="10" spans="1:8">
      <c r="C10" s="8" t="str">
        <f>IFERROR(VLOOKUP(B10,LOOKUPS!A:B,2,FALSE),"")</f>
        <v/>
      </c>
    </row>
    <row r="11" spans="1:8">
      <c r="C11" s="8" t="str">
        <f>IFERROR(VLOOKUP(B11,LOOKUPS!A:B,2,FALSE),"")</f>
        <v/>
      </c>
    </row>
    <row r="12" spans="1:8">
      <c r="C12" s="8" t="str">
        <f>IFERROR(VLOOKUP(B12,LOOKUPS!A:B,2,FALSE),"")</f>
        <v/>
      </c>
    </row>
    <row r="13" spans="1:8">
      <c r="C13" s="8" t="str">
        <f>IFERROR(VLOOKUP(B13,LOOKUPS!A:B,2,FALSE),"")</f>
        <v/>
      </c>
    </row>
    <row r="14" spans="1:8">
      <c r="C14" s="8" t="str">
        <f>IFERROR(VLOOKUP(B14,LOOKUPS!A:B,2,FALSE),"")</f>
        <v/>
      </c>
    </row>
    <row r="15" spans="1:8">
      <c r="C15" s="8" t="str">
        <f>IFERROR(VLOOKUP(B15,LOOKUPS!A:B,2,FALSE),"")</f>
        <v/>
      </c>
    </row>
    <row r="16" spans="1:8">
      <c r="C16" s="8" t="str">
        <f>IFERROR(VLOOKUP(B16,LOOKUPS!A:B,2,FALSE),"")</f>
        <v/>
      </c>
    </row>
    <row r="17" spans="3:3">
      <c r="C17" s="8" t="str">
        <f>IFERROR(VLOOKUP(B17,LOOKUPS!A:B,2,FALSE),"")</f>
        <v/>
      </c>
    </row>
    <row r="18" spans="3:3">
      <c r="C18" s="8" t="str">
        <f>IFERROR(VLOOKUP(B18,LOOKUPS!A:B,2,FALSE),"")</f>
        <v/>
      </c>
    </row>
    <row r="19" spans="3:3">
      <c r="C19" s="8" t="str">
        <f>IFERROR(VLOOKUP(B19,LOOKUPS!A:B,2,FALSE),"")</f>
        <v/>
      </c>
    </row>
    <row r="20" spans="3:3">
      <c r="C20" s="8" t="str">
        <f>IFERROR(VLOOKUP(B20,LOOKUPS!A:B,2,FALSE),"")</f>
        <v/>
      </c>
    </row>
    <row r="21" spans="3:3">
      <c r="C21" s="8" t="str">
        <f>IFERROR(VLOOKUP(B21,LOOKUPS!A:B,2,FALSE),"")</f>
        <v/>
      </c>
    </row>
    <row r="22" spans="3:3">
      <c r="C22" s="8" t="str">
        <f>IFERROR(VLOOKUP(B22,LOOKUPS!A:B,2,FALSE),"")</f>
        <v/>
      </c>
    </row>
    <row r="23" spans="3:3">
      <c r="C23" s="8" t="str">
        <f>IFERROR(VLOOKUP(B23,LOOKUPS!A:B,2,FALSE),"")</f>
        <v/>
      </c>
    </row>
    <row r="24" spans="3:3">
      <c r="C24" s="8" t="str">
        <f>IFERROR(VLOOKUP(B24,LOOKUPS!A:B,2,FALSE),"")</f>
        <v/>
      </c>
    </row>
    <row r="25" spans="3:3">
      <c r="C25" s="8" t="str">
        <f>IFERROR(VLOOKUP(B25,LOOKUPS!A:B,2,FALSE),"")</f>
        <v/>
      </c>
    </row>
    <row r="26" spans="3:3">
      <c r="C26" s="8" t="str">
        <f>IFERROR(VLOOKUP(B26,LOOKUPS!A:B,2,FALSE),"")</f>
        <v/>
      </c>
    </row>
    <row r="27" spans="3:3">
      <c r="C27" s="8" t="str">
        <f>IFERROR(VLOOKUP(B27,LOOKUPS!A:B,2,FALSE),"")</f>
        <v/>
      </c>
    </row>
    <row r="28" spans="3:3">
      <c r="C28" s="8" t="str">
        <f>IFERROR(VLOOKUP(B28,LOOKUPS!A:B,2,FALSE),"")</f>
        <v/>
      </c>
    </row>
    <row r="29" spans="3:3">
      <c r="C29" s="8" t="str">
        <f>IFERROR(VLOOKUP(B29,LOOKUPS!A:B,2,FALSE),"")</f>
        <v/>
      </c>
    </row>
    <row r="30" spans="3:3">
      <c r="C30" s="8" t="str">
        <f>IFERROR(VLOOKUP(B30,LOOKUPS!A:B,2,FALSE),"")</f>
        <v/>
      </c>
    </row>
    <row r="31" spans="3:3">
      <c r="C31" s="8" t="str">
        <f>IFERROR(VLOOKUP(B31,LOOKUPS!A:B,2,FALSE),"")</f>
        <v/>
      </c>
    </row>
    <row r="32" spans="3:3">
      <c r="C32" s="8" t="str">
        <f>IFERROR(VLOOKUP(B32,LOOKUPS!A:B,2,FALSE),"")</f>
        <v/>
      </c>
    </row>
    <row r="33" spans="3:3">
      <c r="C33" s="8" t="str">
        <f>IFERROR(VLOOKUP(B33,LOOKUPS!A:B,2,FALSE),"")</f>
        <v/>
      </c>
    </row>
    <row r="34" spans="3:3">
      <c r="C34" s="8" t="str">
        <f>IFERROR(VLOOKUP(B34,LOOKUPS!A:B,2,FALSE),"")</f>
        <v/>
      </c>
    </row>
    <row r="35" spans="3:3">
      <c r="C35" s="8" t="str">
        <f>IFERROR(VLOOKUP(B35,LOOKUPS!A:B,2,FALSE),"")</f>
        <v/>
      </c>
    </row>
    <row r="36" spans="3:3">
      <c r="C36" s="8" t="str">
        <f>IFERROR(VLOOKUP(B36,LOOKUPS!A:B,2,FALSE),"")</f>
        <v/>
      </c>
    </row>
    <row r="37" spans="3:3">
      <c r="C37" s="8" t="str">
        <f>IFERROR(VLOOKUP(B37,LOOKUPS!A:B,2,FALSE),"")</f>
        <v/>
      </c>
    </row>
    <row r="38" spans="3:3">
      <c r="C38" s="8" t="str">
        <f>IFERROR(VLOOKUP(B38,LOOKUPS!A:B,2,FALSE),"")</f>
        <v/>
      </c>
    </row>
    <row r="39" spans="3:3">
      <c r="C39" s="8" t="str">
        <f>IFERROR(VLOOKUP(B39,LOOKUPS!A:B,2,FALSE),"")</f>
        <v/>
      </c>
    </row>
    <row r="40" spans="3:3">
      <c r="C40" s="8" t="str">
        <f>IFERROR(VLOOKUP(B40,LOOKUPS!A:B,2,FALSE),"")</f>
        <v/>
      </c>
    </row>
    <row r="41" spans="3:3">
      <c r="C41" s="8" t="str">
        <f>IFERROR(VLOOKUP(B41,LOOKUPS!A:B,2,FALSE),"")</f>
        <v/>
      </c>
    </row>
    <row r="42" spans="3:3">
      <c r="C42" s="8" t="str">
        <f>IFERROR(VLOOKUP(B42,LOOKUPS!A:B,2,FALSE),"")</f>
        <v/>
      </c>
    </row>
    <row r="43" spans="3:3">
      <c r="C43" s="8" t="str">
        <f>IFERROR(VLOOKUP(B43,LOOKUPS!A:B,2,FALSE),"")</f>
        <v/>
      </c>
    </row>
    <row r="44" spans="3:3">
      <c r="C44" s="8" t="str">
        <f>IFERROR(VLOOKUP(B44,LOOKUPS!A:B,2,FALSE),"")</f>
        <v/>
      </c>
    </row>
    <row r="45" spans="3:3">
      <c r="C45" s="8" t="str">
        <f>IFERROR(VLOOKUP(B45,LOOKUPS!A:B,2,FALSE),"")</f>
        <v/>
      </c>
    </row>
    <row r="46" spans="3:3">
      <c r="C46" s="8" t="str">
        <f>IFERROR(VLOOKUP(B46,LOOKUPS!A:B,2,FALSE),"")</f>
        <v/>
      </c>
    </row>
    <row r="47" spans="3:3">
      <c r="C47" s="8" t="str">
        <f>IFERROR(VLOOKUP(B47,LOOKUPS!A:B,2,FALSE),"")</f>
        <v/>
      </c>
    </row>
    <row r="48" spans="3:3">
      <c r="C48" s="8" t="str">
        <f>IFERROR(VLOOKUP(B48,LOOKUPS!A:B,2,FALSE),"")</f>
        <v/>
      </c>
    </row>
    <row r="49" spans="3:3">
      <c r="C49" s="8" t="str">
        <f>IFERROR(VLOOKUP(B49,LOOKUPS!A:B,2,FALSE),"")</f>
        <v/>
      </c>
    </row>
    <row r="50" spans="3:3">
      <c r="C50" s="8" t="str">
        <f>IFERROR(VLOOKUP(B50,LOOKUPS!A:B,2,FALSE),"")</f>
        <v/>
      </c>
    </row>
    <row r="51" spans="3:3">
      <c r="C51" s="8" t="str">
        <f>IFERROR(VLOOKUP(B51,LOOKUPS!A:B,2,FALSE),"")</f>
        <v/>
      </c>
    </row>
    <row r="52" spans="3:3">
      <c r="C52" s="8" t="str">
        <f>IFERROR(VLOOKUP(B52,LOOKUPS!A:B,2,FALSE),"")</f>
        <v/>
      </c>
    </row>
    <row r="53" spans="3:3">
      <c r="C53" s="8" t="str">
        <f>IFERROR(VLOOKUP(B53,LOOKUPS!A:B,2,FALSE),"")</f>
        <v/>
      </c>
    </row>
    <row r="54" spans="3:3">
      <c r="C54" s="8" t="str">
        <f>IFERROR(VLOOKUP(B54,LOOKUPS!A:B,2,FALSE),"")</f>
        <v/>
      </c>
    </row>
    <row r="55" spans="3:3">
      <c r="C55" s="8" t="str">
        <f>IFERROR(VLOOKUP(B55,LOOKUPS!A:B,2,FALSE),"")</f>
        <v/>
      </c>
    </row>
    <row r="56" spans="3:3">
      <c r="C56" s="8" t="str">
        <f>IFERROR(VLOOKUP(B56,LOOKUPS!A:B,2,FALSE),"")</f>
        <v/>
      </c>
    </row>
    <row r="57" spans="3:3">
      <c r="C57" s="8" t="str">
        <f>IFERROR(VLOOKUP(B57,LOOKUPS!A:B,2,FALSE),"")</f>
        <v/>
      </c>
    </row>
    <row r="58" spans="3:3">
      <c r="C58" s="8" t="str">
        <f>IFERROR(VLOOKUP(B58,LOOKUPS!A:B,2,FALSE),"")</f>
        <v/>
      </c>
    </row>
    <row r="59" spans="3:3">
      <c r="C59" s="8" t="str">
        <f>IFERROR(VLOOKUP(B59,LOOKUPS!A:B,2,FALSE),"")</f>
        <v/>
      </c>
    </row>
    <row r="60" spans="3:3">
      <c r="C60" s="8" t="str">
        <f>IFERROR(VLOOKUP(B60,LOOKUPS!A:B,2,FALSE),"")</f>
        <v/>
      </c>
    </row>
    <row r="61" spans="3:3">
      <c r="C61" s="8" t="str">
        <f>IFERROR(VLOOKUP(B61,LOOKUPS!A:B,2,FALSE),"")</f>
        <v/>
      </c>
    </row>
    <row r="62" spans="3:3">
      <c r="C62" s="8" t="str">
        <f>IFERROR(VLOOKUP(B62,LOOKUPS!A:B,2,FALSE),"")</f>
        <v/>
      </c>
    </row>
    <row r="63" spans="3:3">
      <c r="C63" s="8" t="str">
        <f>IFERROR(VLOOKUP(B63,LOOKUPS!A:B,2,FALSE),"")</f>
        <v/>
      </c>
    </row>
    <row r="64" spans="3:3">
      <c r="C64" s="8" t="str">
        <f>IFERROR(VLOOKUP(B64,LOOKUPS!A:B,2,FALSE),"")</f>
        <v/>
      </c>
    </row>
    <row r="65" spans="3:3">
      <c r="C65" s="8" t="str">
        <f>IFERROR(VLOOKUP(B65,LOOKUPS!A:B,2,FALSE),"")</f>
        <v/>
      </c>
    </row>
    <row r="66" spans="3:3">
      <c r="C66" s="8" t="str">
        <f>IFERROR(VLOOKUP(B66,LOOKUPS!A:B,2,FALSE),"")</f>
        <v/>
      </c>
    </row>
    <row r="67" spans="3:3">
      <c r="C67" s="8" t="str">
        <f>IFERROR(VLOOKUP(B67,LOOKUPS!A:B,2,FALSE),"")</f>
        <v/>
      </c>
    </row>
    <row r="68" spans="3:3">
      <c r="C68" s="8" t="str">
        <f>IFERROR(VLOOKUP(B68,LOOKUPS!A:B,2,FALSE),"")</f>
        <v/>
      </c>
    </row>
    <row r="69" spans="3:3">
      <c r="C69" s="8" t="str">
        <f>IFERROR(VLOOKUP(B69,LOOKUPS!A:B,2,FALSE),"")</f>
        <v/>
      </c>
    </row>
    <row r="70" spans="3:3">
      <c r="C70" s="8" t="str">
        <f>IFERROR(VLOOKUP(B70,LOOKUPS!A:B,2,FALSE),"")</f>
        <v/>
      </c>
    </row>
    <row r="71" spans="3:3">
      <c r="C71" s="8" t="str">
        <f>IFERROR(VLOOKUP(B71,LOOKUPS!A:B,2,FALSE),"")</f>
        <v/>
      </c>
    </row>
    <row r="72" spans="3:3">
      <c r="C72" s="8" t="str">
        <f>IFERROR(VLOOKUP(B72,LOOKUPS!A:B,2,FALSE),"")</f>
        <v/>
      </c>
    </row>
    <row r="73" spans="3:3">
      <c r="C73" s="8" t="str">
        <f>IFERROR(VLOOKUP(B73,LOOKUPS!A:B,2,FALSE),"")</f>
        <v/>
      </c>
    </row>
    <row r="74" spans="3:3">
      <c r="C74" s="8" t="str">
        <f>IFERROR(VLOOKUP(B74,LOOKUPS!A:B,2,FALSE),"")</f>
        <v/>
      </c>
    </row>
    <row r="75" spans="3:3">
      <c r="C75" s="8" t="str">
        <f>IFERROR(VLOOKUP(B75,LOOKUPS!A:B,2,FALSE),"")</f>
        <v/>
      </c>
    </row>
    <row r="76" spans="3:3">
      <c r="C76" s="8" t="str">
        <f>IFERROR(VLOOKUP(B76,LOOKUPS!A:B,2,FALSE),"")</f>
        <v/>
      </c>
    </row>
    <row r="77" spans="3:3">
      <c r="C77" s="8" t="str">
        <f>IFERROR(VLOOKUP(B77,LOOKUPS!A:B,2,FALSE),"")</f>
        <v/>
      </c>
    </row>
    <row r="78" spans="3:3">
      <c r="C78" s="8" t="str">
        <f>IFERROR(VLOOKUP(B78,LOOKUPS!A:B,2,FALSE),"")</f>
        <v/>
      </c>
    </row>
    <row r="79" spans="3:3">
      <c r="C79" s="8" t="str">
        <f>IFERROR(VLOOKUP(B79,LOOKUPS!A:B,2,FALSE),"")</f>
        <v/>
      </c>
    </row>
    <row r="80" spans="3:3">
      <c r="C80" s="8" t="str">
        <f>IFERROR(VLOOKUP(B80,LOOKUPS!A:B,2,FALSE),"")</f>
        <v/>
      </c>
    </row>
    <row r="81" spans="3:3">
      <c r="C81" s="8" t="str">
        <f>IFERROR(VLOOKUP(B81,LOOKUPS!A:B,2,FALSE),"")</f>
        <v/>
      </c>
    </row>
    <row r="82" spans="3:3">
      <c r="C82" s="8" t="str">
        <f>IFERROR(VLOOKUP(B82,LOOKUPS!A:B,2,FALSE),"")</f>
        <v/>
      </c>
    </row>
    <row r="83" spans="3:3">
      <c r="C83" s="8" t="str">
        <f>IFERROR(VLOOKUP(B83,LOOKUPS!A:B,2,FALSE),"")</f>
        <v/>
      </c>
    </row>
    <row r="84" spans="3:3">
      <c r="C84" s="8" t="str">
        <f>IFERROR(VLOOKUP(B84,LOOKUPS!A:B,2,FALSE),"")</f>
        <v/>
      </c>
    </row>
    <row r="85" spans="3:3">
      <c r="C85" s="8" t="str">
        <f>IFERROR(VLOOKUP(B85,LOOKUPS!A:B,2,FALSE),"")</f>
        <v/>
      </c>
    </row>
    <row r="86" spans="3:3">
      <c r="C86" s="8" t="str">
        <f>IFERROR(VLOOKUP(B86,LOOKUPS!A:B,2,FALSE),"")</f>
        <v/>
      </c>
    </row>
    <row r="87" spans="3:3">
      <c r="C87" s="8" t="str">
        <f>IFERROR(VLOOKUP(B87,LOOKUPS!A:B,2,FALSE),"")</f>
        <v/>
      </c>
    </row>
    <row r="88" spans="3:3">
      <c r="C88" s="8" t="str">
        <f>IFERROR(VLOOKUP(B88,LOOKUPS!A:B,2,FALSE),"")</f>
        <v/>
      </c>
    </row>
    <row r="89" spans="3:3">
      <c r="C89" s="8" t="str">
        <f>IFERROR(VLOOKUP(B89,LOOKUPS!A:B,2,FALSE),"")</f>
        <v/>
      </c>
    </row>
    <row r="90" spans="3:3">
      <c r="C90" s="8" t="str">
        <f>IFERROR(VLOOKUP(B90,LOOKUPS!A:B,2,FALSE),"")</f>
        <v/>
      </c>
    </row>
    <row r="91" spans="3:3">
      <c r="C91" s="8" t="str">
        <f>IFERROR(VLOOKUP(B91,LOOKUPS!A:B,2,FALSE),"")</f>
        <v/>
      </c>
    </row>
    <row r="92" spans="3:3">
      <c r="C92" s="8" t="str">
        <f>IFERROR(VLOOKUP(B92,LOOKUPS!A:B,2,FALSE),"")</f>
        <v/>
      </c>
    </row>
    <row r="93" spans="3:3">
      <c r="C93" s="8" t="str">
        <f>IFERROR(VLOOKUP(B93,LOOKUPS!A:B,2,FALSE),"")</f>
        <v/>
      </c>
    </row>
    <row r="94" spans="3:3">
      <c r="C94" s="8" t="str">
        <f>IFERROR(VLOOKUP(B94,LOOKUPS!A:B,2,FALSE),"")</f>
        <v/>
      </c>
    </row>
    <row r="95" spans="3:3">
      <c r="C95" s="8" t="str">
        <f>IFERROR(VLOOKUP(B95,LOOKUPS!A:B,2,FALSE),"")</f>
        <v/>
      </c>
    </row>
    <row r="96" spans="3:3">
      <c r="C96" s="8" t="str">
        <f>IFERROR(VLOOKUP(B96,LOOKUPS!A:B,2,FALSE),"")</f>
        <v/>
      </c>
    </row>
    <row r="97" spans="3:3">
      <c r="C97" s="8" t="str">
        <f>IFERROR(VLOOKUP(B97,LOOKUPS!A:B,2,FALSE),"")</f>
        <v/>
      </c>
    </row>
    <row r="98" spans="3:3">
      <c r="C98" s="8" t="str">
        <f>IFERROR(VLOOKUP(B98,LOOKUPS!A:B,2,FALSE),"")</f>
        <v/>
      </c>
    </row>
    <row r="99" spans="3:3">
      <c r="C99" s="8" t="str">
        <f>IFERROR(VLOOKUP(B99,LOOKUPS!A:B,2,FALSE),"")</f>
        <v/>
      </c>
    </row>
    <row r="100" spans="3:3">
      <c r="C100" s="8" t="str">
        <f>IFERROR(VLOOKUP(B100,LOOKUPS!A:B,2,FALSE),"")</f>
        <v/>
      </c>
    </row>
    <row r="101" spans="3:3">
      <c r="C101" s="8" t="str">
        <f>IFERROR(VLOOKUP(B101,LOOKUPS!A:B,2,FALSE),"")</f>
        <v/>
      </c>
    </row>
    <row r="102" spans="3:3">
      <c r="C102" s="8" t="str">
        <f>IFERROR(VLOOKUP(B102,LOOKUPS!A:B,2,FALSE),"")</f>
        <v/>
      </c>
    </row>
    <row r="103" spans="3:3">
      <c r="C103" s="8" t="str">
        <f>IFERROR(VLOOKUP(B103,LOOKUPS!A:B,2,FALSE),"")</f>
        <v/>
      </c>
    </row>
    <row r="104" spans="3:3">
      <c r="C104" s="8" t="str">
        <f>IFERROR(VLOOKUP(B104,LOOKUPS!A:B,2,FALSE),"")</f>
        <v/>
      </c>
    </row>
    <row r="105" spans="3:3">
      <c r="C105" s="8" t="str">
        <f>IFERROR(VLOOKUP(B105,LOOKUPS!A:B,2,FALSE),"")</f>
        <v/>
      </c>
    </row>
    <row r="106" spans="3:3">
      <c r="C106" s="8" t="str">
        <f>IFERROR(VLOOKUP(B106,LOOKUPS!A:B,2,FALSE),"")</f>
        <v/>
      </c>
    </row>
    <row r="107" spans="3:3">
      <c r="C107" s="8" t="str">
        <f>IFERROR(VLOOKUP(B107,LOOKUPS!A:B,2,FALSE),"")</f>
        <v/>
      </c>
    </row>
    <row r="108" spans="3:3">
      <c r="C108" s="8" t="str">
        <f>IFERROR(VLOOKUP(B108,LOOKUPS!A:B,2,FALSE),"")</f>
        <v/>
      </c>
    </row>
    <row r="109" spans="3:3">
      <c r="C109" s="8" t="str">
        <f>IFERROR(VLOOKUP(B109,LOOKUPS!A:B,2,FALSE),"")</f>
        <v/>
      </c>
    </row>
    <row r="110" spans="3:3">
      <c r="C110" s="8" t="str">
        <f>IFERROR(VLOOKUP(B110,LOOKUPS!A:B,2,FALSE),"")</f>
        <v/>
      </c>
    </row>
    <row r="111" spans="3:3">
      <c r="C111" s="8" t="str">
        <f>IFERROR(VLOOKUP(B111,LOOKUPS!A:B,2,FALSE),"")</f>
        <v/>
      </c>
    </row>
    <row r="112" spans="3:3">
      <c r="C112" s="8" t="str">
        <f>IFERROR(VLOOKUP(B112,LOOKUPS!A:B,2,FALSE),"")</f>
        <v/>
      </c>
    </row>
    <row r="113" spans="3:3">
      <c r="C113" s="8" t="str">
        <f>IFERROR(VLOOKUP(B113,LOOKUPS!A:B,2,FALSE),"")</f>
        <v/>
      </c>
    </row>
    <row r="114" spans="3:3">
      <c r="C114" s="8" t="str">
        <f>IFERROR(VLOOKUP(B114,LOOKUPS!A:B,2,FALSE),"")</f>
        <v/>
      </c>
    </row>
    <row r="115" spans="3:3">
      <c r="C115" s="8" t="str">
        <f>IFERROR(VLOOKUP(B115,LOOKUPS!A:B,2,FALSE),"")</f>
        <v/>
      </c>
    </row>
    <row r="116" spans="3:3">
      <c r="C116" s="8" t="str">
        <f>IFERROR(VLOOKUP(B116,LOOKUPS!A:B,2,FALSE),"")</f>
        <v/>
      </c>
    </row>
    <row r="117" spans="3:3">
      <c r="C117" s="8" t="str">
        <f>IFERROR(VLOOKUP(B117,LOOKUPS!A:B,2,FALSE),"")</f>
        <v/>
      </c>
    </row>
    <row r="118" spans="3:3">
      <c r="C118" s="8" t="str">
        <f>IFERROR(VLOOKUP(B118,LOOKUPS!A:B,2,FALSE),"")</f>
        <v/>
      </c>
    </row>
    <row r="119" spans="3:3">
      <c r="C119" s="8" t="str">
        <f>IFERROR(VLOOKUP(B119,LOOKUPS!A:B,2,FALSE),"")</f>
        <v/>
      </c>
    </row>
    <row r="120" spans="3:3">
      <c r="C120" s="8" t="str">
        <f>IFERROR(VLOOKUP(B120,LOOKUPS!A:B,2,FALSE),"")</f>
        <v/>
      </c>
    </row>
    <row r="121" spans="3:3">
      <c r="C121" s="8" t="str">
        <f>IFERROR(VLOOKUP(B121,LOOKUPS!A:B,2,FALSE),"")</f>
        <v/>
      </c>
    </row>
    <row r="122" spans="3:3">
      <c r="C122" s="8" t="str">
        <f>IFERROR(VLOOKUP(B122,LOOKUPS!A:B,2,FALSE),"")</f>
        <v/>
      </c>
    </row>
    <row r="123" spans="3:3">
      <c r="C123" s="8" t="str">
        <f>IFERROR(VLOOKUP(B123,LOOKUPS!A:B,2,FALSE),"")</f>
        <v/>
      </c>
    </row>
    <row r="124" spans="3:3">
      <c r="C124" s="8" t="str">
        <f>IFERROR(VLOOKUP(B124,LOOKUPS!A:B,2,FALSE),"")</f>
        <v/>
      </c>
    </row>
    <row r="125" spans="3:3">
      <c r="C125" s="8" t="str">
        <f>IFERROR(VLOOKUP(B125,LOOKUPS!A:B,2,FALSE),"")</f>
        <v/>
      </c>
    </row>
    <row r="126" spans="3:3">
      <c r="C126" s="8" t="str">
        <f>IFERROR(VLOOKUP(B126,LOOKUPS!A:B,2,FALSE),"")</f>
        <v/>
      </c>
    </row>
    <row r="127" spans="3:3">
      <c r="C127" s="8" t="str">
        <f>IFERROR(VLOOKUP(B127,LOOKUPS!A:B,2,FALSE),"")</f>
        <v/>
      </c>
    </row>
    <row r="128" spans="3:3">
      <c r="C128" s="8" t="str">
        <f>IFERROR(VLOOKUP(B128,LOOKUPS!A:B,2,FALSE),"")</f>
        <v/>
      </c>
    </row>
    <row r="129" spans="3:3">
      <c r="C129" s="8" t="str">
        <f>IFERROR(VLOOKUP(B129,LOOKUPS!A:B,2,FALSE),"")</f>
        <v/>
      </c>
    </row>
    <row r="130" spans="3:3">
      <c r="C130" s="8" t="str">
        <f>IFERROR(VLOOKUP(B130,LOOKUPS!A:B,2,FALSE),"")</f>
        <v/>
      </c>
    </row>
    <row r="131" spans="3:3">
      <c r="C131" s="8" t="str">
        <f>IFERROR(VLOOKUP(B131,LOOKUPS!A:B,2,FALSE),"")</f>
        <v/>
      </c>
    </row>
    <row r="132" spans="3:3">
      <c r="C132" s="8" t="str">
        <f>IFERROR(VLOOKUP(B132,LOOKUPS!A:B,2,FALSE),"")</f>
        <v/>
      </c>
    </row>
    <row r="133" spans="3:3">
      <c r="C133" s="8" t="str">
        <f>IFERROR(VLOOKUP(B133,LOOKUPS!A:B,2,FALSE),"")</f>
        <v/>
      </c>
    </row>
    <row r="134" spans="3:3">
      <c r="C134" s="8" t="str">
        <f>IFERROR(VLOOKUP(B134,LOOKUPS!A:B,2,FALSE),"")</f>
        <v/>
      </c>
    </row>
    <row r="135" spans="3:3">
      <c r="C135" s="8" t="str">
        <f>IFERROR(VLOOKUP(B135,LOOKUPS!A:B,2,FALSE),"")</f>
        <v/>
      </c>
    </row>
    <row r="136" spans="3:3">
      <c r="C136" s="8" t="str">
        <f>IFERROR(VLOOKUP(B136,LOOKUPS!A:B,2,FALSE),"")</f>
        <v/>
      </c>
    </row>
    <row r="137" spans="3:3">
      <c r="C137" s="8" t="str">
        <f>IFERROR(VLOOKUP(B137,LOOKUPS!A:B,2,FALSE),"")</f>
        <v/>
      </c>
    </row>
    <row r="138" spans="3:3">
      <c r="C138" s="8" t="str">
        <f>IFERROR(VLOOKUP(B138,LOOKUPS!A:B,2,FALSE),"")</f>
        <v/>
      </c>
    </row>
    <row r="139" spans="3:3">
      <c r="C139" s="8" t="str">
        <f>IFERROR(VLOOKUP(B139,LOOKUPS!A:B,2,FALSE),"")</f>
        <v/>
      </c>
    </row>
    <row r="140" spans="3:3">
      <c r="C140" s="8" t="str">
        <f>IFERROR(VLOOKUP(B140,LOOKUPS!A:B,2,FALSE),"")</f>
        <v/>
      </c>
    </row>
    <row r="141" spans="3:3">
      <c r="C141" s="8" t="str">
        <f>IFERROR(VLOOKUP(B141,LOOKUPS!A:B,2,FALSE),"")</f>
        <v/>
      </c>
    </row>
    <row r="142" spans="3:3">
      <c r="C142" s="8" t="str">
        <f>IFERROR(VLOOKUP(B142,LOOKUPS!A:B,2,FALSE),"")</f>
        <v/>
      </c>
    </row>
    <row r="143" spans="3:3">
      <c r="C143" s="8" t="str">
        <f>IFERROR(VLOOKUP(B143,LOOKUPS!A:B,2,FALSE),"")</f>
        <v/>
      </c>
    </row>
    <row r="144" spans="3:3">
      <c r="C144" s="8" t="str">
        <f>IFERROR(VLOOKUP(B144,LOOKUPS!A:B,2,FALSE),"")</f>
        <v/>
      </c>
    </row>
    <row r="145" spans="3:3">
      <c r="C145" s="8" t="str">
        <f>IFERROR(VLOOKUP(B145,LOOKUPS!A:B,2,FALSE),"")</f>
        <v/>
      </c>
    </row>
    <row r="146" spans="3:3">
      <c r="C146" s="8" t="str">
        <f>IFERROR(VLOOKUP(B146,LOOKUPS!A:B,2,FALSE),"")</f>
        <v/>
      </c>
    </row>
    <row r="147" spans="3:3">
      <c r="C147" s="8" t="str">
        <f>IFERROR(VLOOKUP(B147,LOOKUPS!A:B,2,FALSE),"")</f>
        <v/>
      </c>
    </row>
    <row r="148" spans="3:3">
      <c r="C148" s="8" t="str">
        <f>IFERROR(VLOOKUP(B148,LOOKUPS!A:B,2,FALSE),"")</f>
        <v/>
      </c>
    </row>
    <row r="149" spans="3:3">
      <c r="C149" s="8" t="str">
        <f>IFERROR(VLOOKUP(B149,LOOKUPS!A:B,2,FALSE),"")</f>
        <v/>
      </c>
    </row>
    <row r="150" spans="3:3">
      <c r="C150" s="8" t="str">
        <f>IFERROR(VLOOKUP(B150,LOOKUPS!A:B,2,FALSE),"")</f>
        <v/>
      </c>
    </row>
    <row r="151" spans="3:3">
      <c r="C151" s="8" t="str">
        <f>IFERROR(VLOOKUP(B151,LOOKUPS!A:B,2,FALSE),"")</f>
        <v/>
      </c>
    </row>
    <row r="152" spans="3:3">
      <c r="C152" s="8" t="str">
        <f>IFERROR(VLOOKUP(B152,LOOKUPS!A:B,2,FALSE),"")</f>
        <v/>
      </c>
    </row>
    <row r="153" spans="3:3">
      <c r="C153" s="8" t="str">
        <f>IFERROR(VLOOKUP(B153,LOOKUPS!A:B,2,FALSE),"")</f>
        <v/>
      </c>
    </row>
    <row r="154" spans="3:3">
      <c r="C154" s="8" t="str">
        <f>IFERROR(VLOOKUP(B154,LOOKUPS!A:B,2,FALSE),"")</f>
        <v/>
      </c>
    </row>
    <row r="155" spans="3:3">
      <c r="C155" s="8" t="str">
        <f>IFERROR(VLOOKUP(B155,LOOKUPS!A:B,2,FALSE),"")</f>
        <v/>
      </c>
    </row>
    <row r="156" spans="3:3">
      <c r="C156" s="8" t="str">
        <f>IFERROR(VLOOKUP(B156,LOOKUPS!A:B,2,FALSE),"")</f>
        <v/>
      </c>
    </row>
    <row r="157" spans="3:3">
      <c r="C157" s="8" t="str">
        <f>IFERROR(VLOOKUP(B157,LOOKUPS!A:B,2,FALSE),"")</f>
        <v/>
      </c>
    </row>
    <row r="158" spans="3:3">
      <c r="C158" s="8" t="str">
        <f>IFERROR(VLOOKUP(B158,LOOKUPS!A:B,2,FALSE),"")</f>
        <v/>
      </c>
    </row>
    <row r="159" spans="3:3">
      <c r="C159" s="8" t="str">
        <f>IFERROR(VLOOKUP(B159,LOOKUPS!A:B,2,FALSE),"")</f>
        <v/>
      </c>
    </row>
    <row r="160" spans="3:3">
      <c r="C160" s="8" t="str">
        <f>IFERROR(VLOOKUP(B160,LOOKUPS!A:B,2,FALSE),"")</f>
        <v/>
      </c>
    </row>
    <row r="161" spans="3:3">
      <c r="C161" s="8" t="str">
        <f>IFERROR(VLOOKUP(B161,LOOKUPS!A:B,2,FALSE),"")</f>
        <v/>
      </c>
    </row>
    <row r="162" spans="3:3">
      <c r="C162" s="8" t="str">
        <f>IFERROR(VLOOKUP(B162,LOOKUPS!A:B,2,FALSE),"")</f>
        <v/>
      </c>
    </row>
    <row r="163" spans="3:3">
      <c r="C163" s="8" t="str">
        <f>IFERROR(VLOOKUP(B163,LOOKUPS!A:B,2,FALSE),"")</f>
        <v/>
      </c>
    </row>
    <row r="164" spans="3:3">
      <c r="C164" s="8" t="str">
        <f>IFERROR(VLOOKUP(B164,LOOKUPS!A:B,2,FALSE),"")</f>
        <v/>
      </c>
    </row>
    <row r="165" spans="3:3">
      <c r="C165" s="8" t="str">
        <f>IFERROR(VLOOKUP(B165,LOOKUPS!A:B,2,FALSE),"")</f>
        <v/>
      </c>
    </row>
    <row r="166" spans="3:3">
      <c r="C166" s="8" t="str">
        <f>IFERROR(VLOOKUP(B166,LOOKUPS!A:B,2,FALSE),"")</f>
        <v/>
      </c>
    </row>
    <row r="167" spans="3:3">
      <c r="C167" s="8" t="str">
        <f>IFERROR(VLOOKUP(B167,LOOKUPS!A:B,2,FALSE),"")</f>
        <v/>
      </c>
    </row>
    <row r="168" spans="3:3">
      <c r="C168" s="8" t="str">
        <f>IFERROR(VLOOKUP(B168,LOOKUPS!A:B,2,FALSE),"")</f>
        <v/>
      </c>
    </row>
    <row r="169" spans="3:3">
      <c r="C169" s="8" t="str">
        <f>IFERROR(VLOOKUP(B169,LOOKUPS!A:B,2,FALSE),"")</f>
        <v/>
      </c>
    </row>
    <row r="170" spans="3:3">
      <c r="C170" s="8" t="str">
        <f>IFERROR(VLOOKUP(B170,LOOKUPS!A:B,2,FALSE),"")</f>
        <v/>
      </c>
    </row>
    <row r="171" spans="3:3">
      <c r="C171" s="8" t="str">
        <f>IFERROR(VLOOKUP(B171,LOOKUPS!A:B,2,FALSE),"")</f>
        <v/>
      </c>
    </row>
    <row r="172" spans="3:3">
      <c r="C172" s="8" t="str">
        <f>IFERROR(VLOOKUP(B172,LOOKUPS!A:B,2,FALSE),"")</f>
        <v/>
      </c>
    </row>
    <row r="173" spans="3:3">
      <c r="C173" s="8" t="str">
        <f>IFERROR(VLOOKUP(B173,LOOKUPS!A:B,2,FALSE),"")</f>
        <v/>
      </c>
    </row>
    <row r="174" spans="3:3">
      <c r="C174" s="8" t="str">
        <f>IFERROR(VLOOKUP(B174,LOOKUPS!A:B,2,FALSE),"")</f>
        <v/>
      </c>
    </row>
    <row r="175" spans="3:3">
      <c r="C175" s="8" t="str">
        <f>IFERROR(VLOOKUP(B175,LOOKUPS!A:B,2,FALSE),"")</f>
        <v/>
      </c>
    </row>
    <row r="176" spans="3:3">
      <c r="C176" s="8" t="str">
        <f>IFERROR(VLOOKUP(B176,LOOKUPS!A:B,2,FALSE),"")</f>
        <v/>
      </c>
    </row>
    <row r="177" spans="3:3">
      <c r="C177" s="8" t="str">
        <f>IFERROR(VLOOKUP(B177,LOOKUPS!A:B,2,FALSE),"")</f>
        <v/>
      </c>
    </row>
    <row r="178" spans="3:3">
      <c r="C178" s="8" t="str">
        <f>IFERROR(VLOOKUP(B178,LOOKUPS!A:B,2,FALSE),"")</f>
        <v/>
      </c>
    </row>
    <row r="179" spans="3:3">
      <c r="C179" s="8" t="str">
        <f>IFERROR(VLOOKUP(B179,LOOKUPS!A:B,2,FALSE),"")</f>
        <v/>
      </c>
    </row>
    <row r="180" spans="3:3">
      <c r="C180" s="8" t="str">
        <f>IFERROR(VLOOKUP(B180,LOOKUPS!A:B,2,FALSE),"")</f>
        <v/>
      </c>
    </row>
    <row r="181" spans="3:3">
      <c r="C181" s="8" t="str">
        <f>IFERROR(VLOOKUP(B181,LOOKUPS!A:B,2,FALSE),"")</f>
        <v/>
      </c>
    </row>
    <row r="182" spans="3:3">
      <c r="C182" s="8" t="str">
        <f>IFERROR(VLOOKUP(B182,LOOKUPS!A:B,2,FALSE),"")</f>
        <v/>
      </c>
    </row>
    <row r="183" spans="3:3">
      <c r="C183" s="8" t="str">
        <f>IFERROR(VLOOKUP(B183,LOOKUPS!A:B,2,FALSE),"")</f>
        <v/>
      </c>
    </row>
    <row r="184" spans="3:3">
      <c r="C184" s="8" t="str">
        <f>IFERROR(VLOOKUP(B184,LOOKUPS!A:B,2,FALSE),"")</f>
        <v/>
      </c>
    </row>
    <row r="185" spans="3:3">
      <c r="C185" s="8" t="str">
        <f>IFERROR(VLOOKUP(B185,LOOKUPS!A:B,2,FALSE),"")</f>
        <v/>
      </c>
    </row>
    <row r="186" spans="3:3">
      <c r="C186" s="8" t="str">
        <f>IFERROR(VLOOKUP(B186,LOOKUPS!A:B,2,FALSE),"")</f>
        <v/>
      </c>
    </row>
    <row r="187" spans="3:3">
      <c r="C187" s="8" t="str">
        <f>IFERROR(VLOOKUP(B187,LOOKUPS!A:B,2,FALSE),"")</f>
        <v/>
      </c>
    </row>
    <row r="188" spans="3:3">
      <c r="C188" s="8" t="str">
        <f>IFERROR(VLOOKUP(B188,LOOKUPS!A:B,2,FALSE),"")</f>
        <v/>
      </c>
    </row>
    <row r="189" spans="3:3">
      <c r="C189" s="8" t="str">
        <f>IFERROR(VLOOKUP(B189,LOOKUPS!A:B,2,FALSE),"")</f>
        <v/>
      </c>
    </row>
    <row r="190" spans="3:3">
      <c r="C190" s="8" t="str">
        <f>IFERROR(VLOOKUP(B190,LOOKUPS!A:B,2,FALSE),"")</f>
        <v/>
      </c>
    </row>
    <row r="191" spans="3:3">
      <c r="C191" s="8" t="str">
        <f>IFERROR(VLOOKUP(B191,LOOKUPS!A:B,2,FALSE),"")</f>
        <v/>
      </c>
    </row>
    <row r="192" spans="3:3">
      <c r="C192" s="8" t="str">
        <f>IFERROR(VLOOKUP(B192,LOOKUPS!A:B,2,FALSE),"")</f>
        <v/>
      </c>
    </row>
    <row r="193" spans="3:3">
      <c r="C193" s="8" t="str">
        <f>IFERROR(VLOOKUP(B193,LOOKUPS!A:B,2,FALSE),"")</f>
        <v/>
      </c>
    </row>
    <row r="194" spans="3:3">
      <c r="C194" s="8" t="str">
        <f>IFERROR(VLOOKUP(B194,LOOKUPS!A:B,2,FALSE),"")</f>
        <v/>
      </c>
    </row>
    <row r="195" spans="3:3">
      <c r="C195" s="8" t="str">
        <f>IFERROR(VLOOKUP(B195,LOOKUPS!A:B,2,FALSE),"")</f>
        <v/>
      </c>
    </row>
    <row r="196" spans="3:3">
      <c r="C196" s="8" t="str">
        <f>IFERROR(VLOOKUP(B196,LOOKUPS!A:B,2,FALSE),"")</f>
        <v/>
      </c>
    </row>
    <row r="197" spans="3:3">
      <c r="C197" s="8" t="str">
        <f>IFERROR(VLOOKUP(B197,LOOKUPS!A:B,2,FALSE),"")</f>
        <v/>
      </c>
    </row>
    <row r="198" spans="3:3">
      <c r="C198" s="8" t="str">
        <f>IFERROR(VLOOKUP(B198,LOOKUPS!A:B,2,FALSE),"")</f>
        <v/>
      </c>
    </row>
    <row r="199" spans="3:3">
      <c r="C199" s="8" t="str">
        <f>IFERROR(VLOOKUP(B199,LOOKUPS!A:B,2,FALSE),"")</f>
        <v/>
      </c>
    </row>
    <row r="200" spans="3:3">
      <c r="C200" s="8" t="str">
        <f>IFERROR(VLOOKUP(B200,LOOKUPS!A:B,2,FALSE),"")</f>
        <v/>
      </c>
    </row>
    <row r="201" spans="3:3">
      <c r="C201" s="8" t="str">
        <f>IFERROR(VLOOKUP(B201,LOOKUPS!A:B,2,FALSE),"")</f>
        <v/>
      </c>
    </row>
    <row r="202" spans="3:3">
      <c r="C202" s="8" t="str">
        <f>IFERROR(VLOOKUP(B202,LOOKUPS!A:B,2,FALSE),"")</f>
        <v/>
      </c>
    </row>
    <row r="203" spans="3:3">
      <c r="C203" s="8" t="str">
        <f>IFERROR(VLOOKUP(B203,LOOKUPS!A:B,2,FALSE),"")</f>
        <v/>
      </c>
    </row>
    <row r="204" spans="3:3">
      <c r="C204" s="8" t="str">
        <f>IFERROR(VLOOKUP(B204,LOOKUPS!A:B,2,FALSE),"")</f>
        <v/>
      </c>
    </row>
    <row r="205" spans="3:3">
      <c r="C205" s="8" t="str">
        <f>IFERROR(VLOOKUP(B205,LOOKUPS!A:B,2,FALSE),"")</f>
        <v/>
      </c>
    </row>
    <row r="206" spans="3:3">
      <c r="C206" s="8" t="str">
        <f>IFERROR(VLOOKUP(B206,LOOKUPS!A:B,2,FALSE),"")</f>
        <v/>
      </c>
    </row>
    <row r="207" spans="3:3">
      <c r="C207" s="8" t="str">
        <f>IFERROR(VLOOKUP(B207,LOOKUPS!A:B,2,FALSE),"")</f>
        <v/>
      </c>
    </row>
    <row r="208" spans="3:3">
      <c r="C208" s="8" t="str">
        <f>IFERROR(VLOOKUP(B208,LOOKUPS!A:B,2,FALSE),"")</f>
        <v/>
      </c>
    </row>
    <row r="209" spans="3:3">
      <c r="C209" s="8" t="str">
        <f>IFERROR(VLOOKUP(B209,LOOKUPS!A:B,2,FALSE),"")</f>
        <v/>
      </c>
    </row>
    <row r="210" spans="3:3">
      <c r="C210" s="8" t="str">
        <f>IFERROR(VLOOKUP(B210,LOOKUPS!A:B,2,FALSE),"")</f>
        <v/>
      </c>
    </row>
    <row r="211" spans="3:3">
      <c r="C211" s="8" t="str">
        <f>IFERROR(VLOOKUP(B211,LOOKUPS!A:B,2,FALSE),"")</f>
        <v/>
      </c>
    </row>
    <row r="212" spans="3:3">
      <c r="C212" s="8" t="str">
        <f>IFERROR(VLOOKUP(B212,LOOKUPS!A:B,2,FALSE),"")</f>
        <v/>
      </c>
    </row>
    <row r="213" spans="3:3">
      <c r="C213" s="8" t="str">
        <f>IFERROR(VLOOKUP(B213,LOOKUPS!A:B,2,FALSE),"")</f>
        <v/>
      </c>
    </row>
    <row r="214" spans="3:3">
      <c r="C214" s="8" t="str">
        <f>IFERROR(VLOOKUP(B214,LOOKUPS!A:B,2,FALSE),"")</f>
        <v/>
      </c>
    </row>
    <row r="215" spans="3:3">
      <c r="C215" s="8" t="str">
        <f>IFERROR(VLOOKUP(B215,LOOKUPS!A:B,2,FALSE),"")</f>
        <v/>
      </c>
    </row>
    <row r="216" spans="3:3">
      <c r="C216" s="8" t="str">
        <f>IFERROR(VLOOKUP(B216,LOOKUPS!A:B,2,FALSE),"")</f>
        <v/>
      </c>
    </row>
    <row r="217" spans="3:3">
      <c r="C217" s="8" t="str">
        <f>IFERROR(VLOOKUP(B217,LOOKUPS!A:B,2,FALSE),"")</f>
        <v/>
      </c>
    </row>
    <row r="218" spans="3:3">
      <c r="C218" s="8" t="str">
        <f>IFERROR(VLOOKUP(B218,LOOKUPS!A:B,2,FALSE),"")</f>
        <v/>
      </c>
    </row>
    <row r="219" spans="3:3">
      <c r="C219" s="8" t="str">
        <f>IFERROR(VLOOKUP(B219,LOOKUPS!A:B,2,FALSE),"")</f>
        <v/>
      </c>
    </row>
    <row r="220" spans="3:3">
      <c r="C220" s="8" t="str">
        <f>IFERROR(VLOOKUP(B220,LOOKUPS!A:B,2,FALSE),"")</f>
        <v/>
      </c>
    </row>
  </sheetData>
  <dataValidations count="1">
    <dataValidation type="list" allowBlank="1" showInputMessage="1" showErrorMessage="1" sqref="B1">
      <formula1>ServiceList</formula1>
    </dataValidation>
  </dataValidations>
  <pageMargins left="0.75" right="0.75" top="1" bottom="1" header="0.5" footer="0.5"/>
  <headerFooter/>
  <ignoredErrors>
    <ignoredError sqref="B1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2" tint="-0.9"/>
  </sheetPr>
  <dimension ref="A1:K24"/>
  <sheetViews>
    <sheetView showGridLines="0" showRowColHeaders="0" view="pageLayout" zoomScaleNormal="100" topLeftCell="A3" workbookViewId="0">
      <selection activeCell="H11" sqref="H11"/>
    </sheetView>
  </sheetViews>
  <sheetFormatPr defaultColWidth="9.14285714285714" defaultRowHeight="15"/>
  <sheetData>
    <row r="1" spans="1:11">
      <c r="A1" s="42" t="s">
        <v>8</v>
      </c>
      <c r="B1" s="42"/>
      <c r="C1" s="42"/>
      <c r="D1" s="42"/>
      <c r="E1" s="42"/>
      <c r="F1" s="42"/>
      <c r="G1" s="42"/>
      <c r="H1" s="42"/>
      <c r="I1" s="42"/>
      <c r="J1" s="42"/>
      <c r="K1" s="43"/>
    </row>
    <row r="2" spans="1:11">
      <c r="A2" s="42"/>
      <c r="B2" s="42"/>
      <c r="C2" s="42"/>
      <c r="D2" s="42"/>
      <c r="E2" s="42"/>
      <c r="F2" s="42"/>
      <c r="G2" s="42"/>
      <c r="H2" s="42"/>
      <c r="I2" s="42"/>
      <c r="J2" s="42"/>
      <c r="K2" s="43"/>
    </row>
    <row r="3" spans="1:11">
      <c r="A3" s="8" t="s">
        <v>9</v>
      </c>
      <c r="B3" s="43"/>
      <c r="C3" s="43" t="s">
        <v>10</v>
      </c>
      <c r="D3" s="43"/>
      <c r="E3" s="43"/>
      <c r="F3" s="43"/>
      <c r="G3" s="43"/>
      <c r="H3" s="43"/>
      <c r="I3" s="43"/>
      <c r="J3" s="43"/>
      <c r="K3" s="43"/>
    </row>
    <row r="4" spans="1:11">
      <c r="A4" s="8"/>
    </row>
    <row r="5" ht="30" spans="1:11">
      <c r="A5" s="8" t="s">
        <v>11</v>
      </c>
      <c r="C5" t="s">
        <v>12</v>
      </c>
    </row>
    <row r="6" spans="1:11">
      <c r="A6" s="8"/>
    </row>
    <row r="7" spans="1:11">
      <c r="A7" s="8" t="s">
        <v>13</v>
      </c>
      <c r="C7" t="s">
        <v>14</v>
      </c>
    </row>
    <row r="8" spans="1:11">
      <c r="A8" s="8"/>
    </row>
    <row r="9" spans="1:11">
      <c r="A9" s="8" t="s">
        <v>15</v>
      </c>
    </row>
    <row r="10" spans="1:11">
      <c r="A10" s="8"/>
    </row>
    <row r="11" ht="18.75" spans="1:11">
      <c r="A11" s="44" t="s">
        <v>16</v>
      </c>
    </row>
    <row r="12" spans="1:11">
      <c r="A12" t="s">
        <v>17</v>
      </c>
    </row>
    <row r="13" spans="1:11">
      <c r="A13" t="s">
        <v>18</v>
      </c>
    </row>
    <row r="14" spans="1:11">
      <c r="A14" t="s">
        <v>19</v>
      </c>
    </row>
    <row r="17" spans="1:1">
      <c r="A17" s="45" t="s">
        <v>20</v>
      </c>
    </row>
    <row r="18" spans="1:1">
      <c r="A18" t="s">
        <v>14</v>
      </c>
    </row>
    <row r="20" spans="1:1">
      <c r="A20" s="45" t="s">
        <v>21</v>
      </c>
    </row>
    <row r="22" spans="1:1">
      <c r="A22" s="46" t="s">
        <v>22</v>
      </c>
    </row>
    <row r="23" spans="1:1">
      <c r="A23" s="46" t="s">
        <v>23</v>
      </c>
    </row>
    <row r="24" spans="1:1">
      <c r="A24" s="46" t="s">
        <v>24</v>
      </c>
    </row>
  </sheetData>
  <mergeCells count="1">
    <mergeCell ref="A1:J2"/>
  </mergeCells>
  <pageMargins left="0.75" right="0.75" top="1" bottom="1" header="0.5" footer="0.5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2060"/>
  </sheetPr>
  <dimension ref="A1:L5"/>
  <sheetViews>
    <sheetView showGridLines="0" tabSelected="1" topLeftCell="A7" workbookViewId="0">
      <selection activeCell="P18" sqref="P18"/>
    </sheetView>
  </sheetViews>
  <sheetFormatPr defaultColWidth="9.14285714285714" defaultRowHeight="15" outlineLevelRow="4"/>
  <cols>
    <col min="1" max="1" width="7.14285714285714" style="29" customWidth="1"/>
    <col min="2" max="4" width="9.14285714285714" style="29"/>
    <col min="5" max="5" width="10.8571428571429" style="29"/>
    <col min="6" max="6" width="12.2857142857143" style="29" customWidth="1"/>
    <col min="7" max="7" width="14.8571428571429" style="29"/>
    <col min="8" max="10" width="9.14285714285714" style="29"/>
    <col min="11" max="11" width="17.2857142857143" style="29"/>
    <col min="12" max="16384" width="9.14285714285714" style="29"/>
  </cols>
  <sheetData>
    <row r="1" ht="29" customHeight="1" spans="1:12">
      <c r="A1" s="30" t="s">
        <v>25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>
      <c r="A2" s="32" t="s">
        <v>14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</row>
    <row r="3" ht="15.75" spans="1:12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1:12">
      <c r="A4" s="33" t="s">
        <v>26</v>
      </c>
      <c r="B4" s="34"/>
      <c r="C4" s="35"/>
      <c r="D4" s="33" t="s">
        <v>27</v>
      </c>
      <c r="E4" s="34"/>
      <c r="F4" s="35"/>
      <c r="G4" s="33" t="s">
        <v>28</v>
      </c>
      <c r="H4" s="34"/>
      <c r="I4" s="35"/>
      <c r="J4" s="33" t="s">
        <v>29</v>
      </c>
      <c r="K4" s="34"/>
      <c r="L4" s="35"/>
    </row>
    <row r="5" ht="31" customHeight="1" spans="1:12">
      <c r="A5" s="36">
        <f>EDA!B2</f>
        <v>75463</v>
      </c>
      <c r="B5" s="37"/>
      <c r="C5" s="38"/>
      <c r="D5" s="39">
        <f>EDA!B3</f>
        <v>577</v>
      </c>
      <c r="E5" s="40"/>
      <c r="F5" s="41"/>
      <c r="G5" s="36">
        <f>EDA!B4</f>
        <v>130.785095320624</v>
      </c>
      <c r="H5" s="37"/>
      <c r="I5" s="38"/>
      <c r="J5" s="36">
        <f>EDA!B5</f>
        <v>7500</v>
      </c>
      <c r="K5" s="37"/>
      <c r="L5" s="38"/>
    </row>
  </sheetData>
  <mergeCells count="10">
    <mergeCell ref="A1:L1"/>
    <mergeCell ref="A4:C4"/>
    <mergeCell ref="D4:F4"/>
    <mergeCell ref="G4:I4"/>
    <mergeCell ref="J4:L4"/>
    <mergeCell ref="A5:C5"/>
    <mergeCell ref="D5:F5"/>
    <mergeCell ref="G5:I5"/>
    <mergeCell ref="J5:L5"/>
    <mergeCell ref="A2:L3"/>
  </mergeCells>
  <pageMargins left="0.75" right="0.75" top="1" bottom="1" header="0.5" footer="0.5"/>
  <pageSetup paperSize="1" orientation="portrait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G18"/>
  <sheetViews>
    <sheetView workbookViewId="0">
      <selection activeCell="A20" sqref="A20"/>
    </sheetView>
  </sheetViews>
  <sheetFormatPr defaultColWidth="9.14285714285714" defaultRowHeight="15" outlineLevelCol="6"/>
  <cols>
    <col min="1" max="1" width="24.8571428571429" customWidth="1"/>
    <col min="2" max="2" width="23.5714285714286" customWidth="1"/>
    <col min="3" max="3" width="11.5714285714286" customWidth="1"/>
    <col min="5" max="5" width="12.5714285714286" customWidth="1"/>
    <col min="7" max="7" width="18.7142857142857" customWidth="1"/>
  </cols>
  <sheetData>
    <row r="1" spans="1:7">
      <c r="A1" s="28" t="s">
        <v>30</v>
      </c>
      <c r="B1" s="28" t="s">
        <v>2</v>
      </c>
      <c r="C1" s="28" t="s">
        <v>31</v>
      </c>
      <c r="D1" s="28"/>
      <c r="E1" s="28" t="s">
        <v>32</v>
      </c>
      <c r="F1" s="28"/>
      <c r="G1" s="28" t="s">
        <v>33</v>
      </c>
    </row>
    <row r="2" spans="1:7">
      <c r="A2" s="8" t="s">
        <v>34</v>
      </c>
      <c r="B2" s="8" t="s">
        <v>35</v>
      </c>
      <c r="C2" t="s">
        <v>36</v>
      </c>
      <c r="E2" t="s">
        <v>37</v>
      </c>
      <c r="G2" t="s">
        <v>38</v>
      </c>
    </row>
    <row r="3" spans="1:7">
      <c r="A3" s="8" t="s">
        <v>39</v>
      </c>
      <c r="B3" s="8" t="s">
        <v>35</v>
      </c>
      <c r="C3" t="s">
        <v>40</v>
      </c>
      <c r="E3" t="s">
        <v>41</v>
      </c>
      <c r="G3" t="s">
        <v>42</v>
      </c>
    </row>
    <row r="4" spans="1:7">
      <c r="A4" s="8" t="s">
        <v>43</v>
      </c>
      <c r="B4" s="8" t="s">
        <v>43</v>
      </c>
      <c r="C4" t="s">
        <v>44</v>
      </c>
      <c r="E4" t="s">
        <v>45</v>
      </c>
      <c r="G4" t="s">
        <v>46</v>
      </c>
    </row>
    <row r="5" spans="1:7">
      <c r="A5" s="8" t="s">
        <v>47</v>
      </c>
      <c r="B5" s="8" t="s">
        <v>48</v>
      </c>
      <c r="C5" t="s">
        <v>49</v>
      </c>
      <c r="E5" t="s">
        <v>50</v>
      </c>
      <c r="G5" t="s">
        <v>51</v>
      </c>
    </row>
    <row r="6" spans="1:7">
      <c r="A6" s="8" t="s">
        <v>52</v>
      </c>
      <c r="B6" s="8" t="s">
        <v>48</v>
      </c>
      <c r="C6" t="s">
        <v>53</v>
      </c>
      <c r="E6" t="s">
        <v>54</v>
      </c>
    </row>
    <row r="7" spans="1:7">
      <c r="A7" s="8" t="s">
        <v>55</v>
      </c>
      <c r="B7" s="8" t="s">
        <v>56</v>
      </c>
      <c r="C7" t="s">
        <v>57</v>
      </c>
      <c r="E7" t="s">
        <v>58</v>
      </c>
    </row>
    <row r="8" spans="1:7">
      <c r="A8" s="8" t="s">
        <v>59</v>
      </c>
      <c r="B8" s="8" t="s">
        <v>60</v>
      </c>
      <c r="C8" t="s">
        <v>61</v>
      </c>
      <c r="E8" t="s">
        <v>62</v>
      </c>
    </row>
    <row r="9" spans="1:7">
      <c r="A9" s="8" t="s">
        <v>63</v>
      </c>
      <c r="B9" s="8" t="s">
        <v>64</v>
      </c>
      <c r="C9" t="s">
        <v>65</v>
      </c>
    </row>
    <row r="10" spans="1:7">
      <c r="A10" s="8" t="s">
        <v>66</v>
      </c>
      <c r="B10" s="8" t="s">
        <v>67</v>
      </c>
      <c r="C10" t="s">
        <v>68</v>
      </c>
    </row>
    <row r="11" spans="1:7">
      <c r="A11" s="8" t="s">
        <v>69</v>
      </c>
      <c r="B11" s="8" t="s">
        <v>69</v>
      </c>
      <c r="C11" t="s">
        <v>70</v>
      </c>
    </row>
    <row r="12" spans="1:7">
      <c r="A12" s="8" t="s">
        <v>71</v>
      </c>
      <c r="B12" t="s">
        <v>71</v>
      </c>
      <c r="C12" t="s">
        <v>72</v>
      </c>
    </row>
    <row r="13" spans="1:7">
      <c r="A13" s="8" t="s">
        <v>73</v>
      </c>
      <c r="B13" t="s">
        <v>74</v>
      </c>
      <c r="C13" t="s">
        <v>75</v>
      </c>
    </row>
    <row r="14" spans="1:7">
      <c r="A14" s="8" t="s">
        <v>76</v>
      </c>
      <c r="B14" t="s">
        <v>76</v>
      </c>
    </row>
    <row r="15" spans="1:7">
      <c r="A15" s="8" t="s">
        <v>77</v>
      </c>
    </row>
    <row r="16" spans="1:7">
      <c r="A16" t="s">
        <v>78</v>
      </c>
      <c r="B16" t="s">
        <v>79</v>
      </c>
    </row>
    <row r="17" spans="1:2">
      <c r="A17" t="s">
        <v>80</v>
      </c>
      <c r="B17" t="s">
        <v>80</v>
      </c>
    </row>
    <row r="18" spans="1:2">
      <c r="A18" t="s">
        <v>81</v>
      </c>
      <c r="B18" t="s">
        <v>82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B5FD1"/>
  </sheetPr>
  <dimension ref="A1:G1640"/>
  <sheetViews>
    <sheetView workbookViewId="0">
      <selection activeCell="A1" sqref="A1:G11"/>
    </sheetView>
  </sheetViews>
  <sheetFormatPr defaultColWidth="9.14285714285714" defaultRowHeight="15" outlineLevelCol="6"/>
  <cols>
    <col min="1" max="1" width="11.2857142857143" style="10" customWidth="1"/>
    <col min="2" max="2" width="10.7142857142857" customWidth="1"/>
    <col min="3" max="3" width="29.2857142857143" style="11" customWidth="1"/>
    <col min="4" max="4" width="22.5714285714286" style="11" customWidth="1"/>
    <col min="5" max="5" width="13.4285714285714" customWidth="1"/>
    <col min="6" max="6" width="8.71428571428571" style="11" customWidth="1"/>
    <col min="7" max="7" width="9.14285714285714" style="12"/>
    <col min="8" max="8" width="10" customWidth="1"/>
    <col min="9" max="9" width="13" customWidth="1"/>
    <col min="10" max="10" width="12.1428571428571"/>
    <col min="11" max="11" width="7.85714285714286"/>
    <col min="12" max="12" width="21.5714285714286"/>
    <col min="13" max="13" width="9.57142857142857"/>
    <col min="14" max="17" width="24.7142857142857"/>
    <col min="18" max="18" width="26.4285714285714"/>
  </cols>
  <sheetData>
    <row r="1" spans="1:7">
      <c r="A1" s="13" t="s">
        <v>0</v>
      </c>
      <c r="B1" s="14" t="s">
        <v>83</v>
      </c>
      <c r="C1" s="15" t="s">
        <v>30</v>
      </c>
      <c r="D1" s="15" t="s">
        <v>2</v>
      </c>
      <c r="E1" s="14" t="s">
        <v>3</v>
      </c>
      <c r="F1" s="15" t="s">
        <v>84</v>
      </c>
      <c r="G1" s="16" t="s">
        <v>85</v>
      </c>
    </row>
    <row r="2" spans="1:7">
      <c r="A2" s="17">
        <v>46034</v>
      </c>
      <c r="B2" s="18" t="s">
        <v>37</v>
      </c>
      <c r="C2" s="18" t="s">
        <v>43</v>
      </c>
      <c r="D2" s="18" t="s">
        <v>86</v>
      </c>
      <c r="E2" s="19">
        <v>5</v>
      </c>
      <c r="F2" s="18" t="s">
        <v>87</v>
      </c>
      <c r="G2" s="20">
        <v>3</v>
      </c>
    </row>
    <row r="3" spans="1:7">
      <c r="A3" s="21">
        <v>46034</v>
      </c>
      <c r="B3" s="22" t="s">
        <v>37</v>
      </c>
      <c r="C3" s="22" t="s">
        <v>88</v>
      </c>
      <c r="D3" s="22" t="s">
        <v>86</v>
      </c>
      <c r="E3" s="23">
        <v>20</v>
      </c>
      <c r="F3" s="22" t="s">
        <v>87</v>
      </c>
      <c r="G3" s="24">
        <v>3</v>
      </c>
    </row>
    <row r="4" spans="1:7">
      <c r="A4" s="17">
        <v>46034</v>
      </c>
      <c r="B4" s="18" t="s">
        <v>37</v>
      </c>
      <c r="C4" s="18" t="s">
        <v>43</v>
      </c>
      <c r="D4" s="18" t="s">
        <v>86</v>
      </c>
      <c r="E4" s="19">
        <v>20</v>
      </c>
      <c r="F4" s="18" t="s">
        <v>87</v>
      </c>
      <c r="G4" s="20">
        <v>3</v>
      </c>
    </row>
    <row r="5" spans="1:7">
      <c r="A5" s="21">
        <v>46034</v>
      </c>
      <c r="B5" s="22" t="s">
        <v>37</v>
      </c>
      <c r="C5" s="22" t="s">
        <v>35</v>
      </c>
      <c r="D5" s="22" t="s">
        <v>35</v>
      </c>
      <c r="E5" s="23">
        <v>60</v>
      </c>
      <c r="F5" s="22" t="s">
        <v>87</v>
      </c>
      <c r="G5" s="24">
        <v>3</v>
      </c>
    </row>
    <row r="6" spans="1:7">
      <c r="A6" s="17">
        <v>46034</v>
      </c>
      <c r="B6" s="18" t="s">
        <v>37</v>
      </c>
      <c r="C6" s="18" t="s">
        <v>35</v>
      </c>
      <c r="D6" s="18" t="s">
        <v>35</v>
      </c>
      <c r="E6" s="19">
        <v>80</v>
      </c>
      <c r="F6" s="18" t="s">
        <v>87</v>
      </c>
      <c r="G6" s="20">
        <v>3</v>
      </c>
    </row>
    <row r="7" spans="1:7">
      <c r="A7" s="21">
        <v>46034</v>
      </c>
      <c r="B7" s="22" t="s">
        <v>37</v>
      </c>
      <c r="C7" s="22" t="s">
        <v>89</v>
      </c>
      <c r="D7" s="22" t="s">
        <v>86</v>
      </c>
      <c r="E7" s="23">
        <v>125</v>
      </c>
      <c r="F7" s="22" t="s">
        <v>87</v>
      </c>
      <c r="G7" s="24">
        <v>3</v>
      </c>
    </row>
    <row r="8" spans="1:7">
      <c r="A8" s="17">
        <v>46034</v>
      </c>
      <c r="B8" s="18" t="s">
        <v>37</v>
      </c>
      <c r="C8" s="18" t="s">
        <v>90</v>
      </c>
      <c r="D8" s="18" t="s">
        <v>48</v>
      </c>
      <c r="E8" s="19">
        <v>130</v>
      </c>
      <c r="F8" s="18" t="s">
        <v>87</v>
      </c>
      <c r="G8" s="20">
        <v>3</v>
      </c>
    </row>
    <row r="9" spans="1:7">
      <c r="A9" s="21">
        <v>46034</v>
      </c>
      <c r="B9" s="22" t="s">
        <v>37</v>
      </c>
      <c r="C9" s="22" t="s">
        <v>35</v>
      </c>
      <c r="D9" s="22" t="s">
        <v>35</v>
      </c>
      <c r="E9" s="23">
        <v>40</v>
      </c>
      <c r="F9" s="22" t="s">
        <v>87</v>
      </c>
      <c r="G9" s="24">
        <v>3</v>
      </c>
    </row>
    <row r="10" spans="1:7">
      <c r="A10" s="17">
        <v>46034</v>
      </c>
      <c r="B10" s="18" t="s">
        <v>37</v>
      </c>
      <c r="C10" s="18" t="s">
        <v>91</v>
      </c>
      <c r="D10" s="18" t="s">
        <v>91</v>
      </c>
      <c r="E10" s="19">
        <v>70</v>
      </c>
      <c r="F10" s="18" t="s">
        <v>87</v>
      </c>
      <c r="G10" s="20">
        <v>3</v>
      </c>
    </row>
    <row r="11" spans="1:7">
      <c r="A11" s="21">
        <v>46034</v>
      </c>
      <c r="B11" s="22" t="s">
        <v>37</v>
      </c>
      <c r="C11" s="22" t="s">
        <v>48</v>
      </c>
      <c r="D11" s="22" t="s">
        <v>48</v>
      </c>
      <c r="E11" s="23">
        <v>70</v>
      </c>
      <c r="F11" s="22" t="s">
        <v>87</v>
      </c>
      <c r="G11" s="24">
        <v>3</v>
      </c>
    </row>
    <row r="12" spans="1:7">
      <c r="A12" s="17">
        <v>46034</v>
      </c>
      <c r="B12" s="18" t="s">
        <v>37</v>
      </c>
      <c r="C12" s="18" t="s">
        <v>92</v>
      </c>
      <c r="D12" s="18" t="s">
        <v>35</v>
      </c>
      <c r="E12" s="19">
        <v>200</v>
      </c>
      <c r="F12" s="18" t="s">
        <v>87</v>
      </c>
      <c r="G12" s="20">
        <v>3</v>
      </c>
    </row>
    <row r="13" spans="1:7">
      <c r="A13" s="21">
        <v>46034</v>
      </c>
      <c r="B13" s="22" t="s">
        <v>37</v>
      </c>
      <c r="C13" s="22" t="s">
        <v>93</v>
      </c>
      <c r="D13" s="22" t="s">
        <v>93</v>
      </c>
      <c r="E13" s="23">
        <v>50</v>
      </c>
      <c r="F13" s="22" t="s">
        <v>87</v>
      </c>
      <c r="G13" s="24">
        <v>3</v>
      </c>
    </row>
    <row r="14" spans="1:7">
      <c r="A14" s="17">
        <v>46034</v>
      </c>
      <c r="B14" s="18" t="s">
        <v>37</v>
      </c>
      <c r="C14" s="18" t="s">
        <v>94</v>
      </c>
      <c r="D14" s="18" t="s">
        <v>95</v>
      </c>
      <c r="E14" s="19">
        <v>250</v>
      </c>
      <c r="F14" s="18" t="s">
        <v>87</v>
      </c>
      <c r="G14" s="20">
        <v>3</v>
      </c>
    </row>
    <row r="15" spans="1:7">
      <c r="A15" s="21">
        <v>46034</v>
      </c>
      <c r="B15" s="22" t="s">
        <v>37</v>
      </c>
      <c r="C15" s="22" t="s">
        <v>96</v>
      </c>
      <c r="D15" s="22" t="s">
        <v>35</v>
      </c>
      <c r="E15" s="23">
        <v>70</v>
      </c>
      <c r="F15" s="22" t="s">
        <v>87</v>
      </c>
      <c r="G15" s="24">
        <v>3</v>
      </c>
    </row>
    <row r="16" spans="1:7">
      <c r="A16" s="21">
        <v>46034</v>
      </c>
      <c r="B16" s="22" t="s">
        <v>37</v>
      </c>
      <c r="C16" s="22" t="s">
        <v>97</v>
      </c>
      <c r="D16" s="22" t="s">
        <v>86</v>
      </c>
      <c r="E16" s="23">
        <v>1710</v>
      </c>
      <c r="F16" s="22" t="s">
        <v>87</v>
      </c>
      <c r="G16" s="24">
        <v>3</v>
      </c>
    </row>
    <row r="17" spans="1:7">
      <c r="A17" s="17">
        <v>46034</v>
      </c>
      <c r="B17" s="18" t="s">
        <v>37</v>
      </c>
      <c r="C17" s="18" t="s">
        <v>94</v>
      </c>
      <c r="D17" s="18" t="s">
        <v>95</v>
      </c>
      <c r="E17" s="19">
        <v>250</v>
      </c>
      <c r="F17" s="18" t="s">
        <v>87</v>
      </c>
      <c r="G17" s="20">
        <v>3</v>
      </c>
    </row>
    <row r="18" spans="1:7">
      <c r="A18" s="21">
        <v>46034</v>
      </c>
      <c r="B18" s="22" t="s">
        <v>37</v>
      </c>
      <c r="C18" s="22" t="s">
        <v>98</v>
      </c>
      <c r="D18" s="22" t="s">
        <v>99</v>
      </c>
      <c r="E18" s="23">
        <v>20</v>
      </c>
      <c r="F18" s="22" t="s">
        <v>87</v>
      </c>
      <c r="G18" s="24">
        <v>3</v>
      </c>
    </row>
    <row r="19" spans="1:7">
      <c r="A19" s="17">
        <v>46034</v>
      </c>
      <c r="B19" s="18" t="s">
        <v>37</v>
      </c>
      <c r="C19" s="18" t="s">
        <v>35</v>
      </c>
      <c r="D19" s="18" t="s">
        <v>35</v>
      </c>
      <c r="E19" s="19">
        <v>50</v>
      </c>
      <c r="F19" s="18" t="s">
        <v>87</v>
      </c>
      <c r="G19" s="20">
        <v>3</v>
      </c>
    </row>
    <row r="20" spans="1:7">
      <c r="A20" s="21">
        <v>46034</v>
      </c>
      <c r="B20" s="22" t="s">
        <v>37</v>
      </c>
      <c r="C20" s="22" t="s">
        <v>100</v>
      </c>
      <c r="D20" s="22" t="s">
        <v>86</v>
      </c>
      <c r="E20" s="23">
        <v>85</v>
      </c>
      <c r="F20" s="22" t="s">
        <v>87</v>
      </c>
      <c r="G20" s="24">
        <v>3</v>
      </c>
    </row>
    <row r="21" spans="1:7">
      <c r="A21" s="17">
        <v>46034</v>
      </c>
      <c r="B21" s="18" t="s">
        <v>37</v>
      </c>
      <c r="C21" s="18" t="s">
        <v>101</v>
      </c>
      <c r="D21" s="18" t="s">
        <v>48</v>
      </c>
      <c r="E21" s="19">
        <v>380</v>
      </c>
      <c r="F21" s="18" t="s">
        <v>87</v>
      </c>
      <c r="G21" s="20">
        <v>3</v>
      </c>
    </row>
    <row r="22" spans="1:7">
      <c r="A22" s="21">
        <v>46034</v>
      </c>
      <c r="B22" s="22" t="s">
        <v>37</v>
      </c>
      <c r="C22" s="22" t="s">
        <v>35</v>
      </c>
      <c r="D22" s="22" t="s">
        <v>35</v>
      </c>
      <c r="E22" s="23">
        <v>20</v>
      </c>
      <c r="F22" s="22" t="s">
        <v>87</v>
      </c>
      <c r="G22" s="24">
        <v>3</v>
      </c>
    </row>
    <row r="23" spans="1:7">
      <c r="A23" s="17">
        <v>46034</v>
      </c>
      <c r="B23" s="18" t="s">
        <v>37</v>
      </c>
      <c r="C23" s="18" t="s">
        <v>35</v>
      </c>
      <c r="D23" s="18" t="s">
        <v>35</v>
      </c>
      <c r="E23" s="19">
        <v>20</v>
      </c>
      <c r="F23" s="18" t="s">
        <v>87</v>
      </c>
      <c r="G23" s="25">
        <v>3</v>
      </c>
    </row>
    <row r="24" spans="1:7">
      <c r="A24" s="21">
        <v>46034</v>
      </c>
      <c r="B24" s="22" t="s">
        <v>37</v>
      </c>
      <c r="C24" s="22" t="s">
        <v>102</v>
      </c>
      <c r="D24" s="22" t="s">
        <v>99</v>
      </c>
      <c r="E24" s="23">
        <v>60</v>
      </c>
      <c r="F24" s="22" t="s">
        <v>87</v>
      </c>
      <c r="G24" s="26">
        <v>3</v>
      </c>
    </row>
    <row r="25" spans="1:7">
      <c r="A25" s="17">
        <v>46034</v>
      </c>
      <c r="B25" s="18" t="s">
        <v>37</v>
      </c>
      <c r="C25" s="18" t="s">
        <v>103</v>
      </c>
      <c r="D25" s="18" t="s">
        <v>86</v>
      </c>
      <c r="E25" s="19">
        <v>185</v>
      </c>
      <c r="F25" s="18" t="s">
        <v>87</v>
      </c>
      <c r="G25" s="25">
        <v>3</v>
      </c>
    </row>
    <row r="26" spans="1:7">
      <c r="A26" s="21">
        <v>46034</v>
      </c>
      <c r="B26" s="22" t="s">
        <v>37</v>
      </c>
      <c r="C26" s="22" t="s">
        <v>104</v>
      </c>
      <c r="D26" s="22" t="s">
        <v>105</v>
      </c>
      <c r="E26" s="23">
        <v>50</v>
      </c>
      <c r="F26" s="22" t="s">
        <v>87</v>
      </c>
      <c r="G26" s="26">
        <v>3</v>
      </c>
    </row>
    <row r="27" spans="1:7">
      <c r="A27" s="21">
        <v>46034</v>
      </c>
      <c r="B27" s="22" t="s">
        <v>37</v>
      </c>
      <c r="C27" s="22" t="s">
        <v>35</v>
      </c>
      <c r="D27" s="22" t="s">
        <v>35</v>
      </c>
      <c r="E27" s="23">
        <v>40</v>
      </c>
      <c r="F27" s="22" t="s">
        <v>87</v>
      </c>
      <c r="G27" s="26">
        <v>3</v>
      </c>
    </row>
    <row r="28" spans="1:7">
      <c r="A28" s="17">
        <v>46034</v>
      </c>
      <c r="B28" s="18" t="s">
        <v>37</v>
      </c>
      <c r="C28" s="18" t="s">
        <v>43</v>
      </c>
      <c r="D28" s="18" t="s">
        <v>86</v>
      </c>
      <c r="E28" s="19">
        <v>20</v>
      </c>
      <c r="F28" s="18" t="s">
        <v>87</v>
      </c>
      <c r="G28" s="25">
        <v>3</v>
      </c>
    </row>
    <row r="29" spans="1:7">
      <c r="A29" s="21">
        <v>46034</v>
      </c>
      <c r="B29" s="22" t="s">
        <v>37</v>
      </c>
      <c r="C29" s="22" t="s">
        <v>106</v>
      </c>
      <c r="D29" s="22" t="s">
        <v>107</v>
      </c>
      <c r="E29" s="23">
        <v>100</v>
      </c>
      <c r="F29" s="22" t="s">
        <v>87</v>
      </c>
      <c r="G29" s="26">
        <v>3</v>
      </c>
    </row>
    <row r="30" spans="1:7">
      <c r="A30" s="17">
        <v>46034</v>
      </c>
      <c r="B30" s="18" t="s">
        <v>37</v>
      </c>
      <c r="C30" s="18" t="s">
        <v>108</v>
      </c>
      <c r="D30" s="18" t="s">
        <v>105</v>
      </c>
      <c r="E30" s="19">
        <v>200</v>
      </c>
      <c r="F30" s="18" t="s">
        <v>87</v>
      </c>
      <c r="G30" s="26">
        <v>3</v>
      </c>
    </row>
    <row r="31" spans="1:7">
      <c r="A31" s="21">
        <v>46034</v>
      </c>
      <c r="B31" s="22" t="s">
        <v>37</v>
      </c>
      <c r="C31" s="22" t="s">
        <v>35</v>
      </c>
      <c r="D31" s="22" t="s">
        <v>35</v>
      </c>
      <c r="E31" s="23">
        <v>60</v>
      </c>
      <c r="F31" s="22" t="s">
        <v>87</v>
      </c>
      <c r="G31" s="26">
        <v>3</v>
      </c>
    </row>
    <row r="32" spans="1:7">
      <c r="A32" s="17">
        <v>46034</v>
      </c>
      <c r="B32" s="18" t="s">
        <v>37</v>
      </c>
      <c r="C32" s="18" t="s">
        <v>93</v>
      </c>
      <c r="D32" s="18" t="s">
        <v>93</v>
      </c>
      <c r="E32" s="19">
        <v>50</v>
      </c>
      <c r="F32" s="18" t="s">
        <v>87</v>
      </c>
      <c r="G32" s="26">
        <v>3</v>
      </c>
    </row>
    <row r="33" spans="1:7">
      <c r="A33" s="17">
        <v>46034</v>
      </c>
      <c r="B33" s="18" t="s">
        <v>37</v>
      </c>
      <c r="C33" s="18" t="s">
        <v>109</v>
      </c>
      <c r="D33" s="18" t="s">
        <v>86</v>
      </c>
      <c r="E33" s="19">
        <v>145</v>
      </c>
      <c r="F33" s="18" t="s">
        <v>87</v>
      </c>
      <c r="G33" s="26">
        <v>3</v>
      </c>
    </row>
    <row r="34" spans="1:7">
      <c r="A34" s="21">
        <v>46034</v>
      </c>
      <c r="B34" s="22" t="s">
        <v>37</v>
      </c>
      <c r="C34" s="22" t="s">
        <v>35</v>
      </c>
      <c r="D34" s="22" t="s">
        <v>35</v>
      </c>
      <c r="E34" s="23">
        <v>120</v>
      </c>
      <c r="F34" s="22" t="s">
        <v>87</v>
      </c>
      <c r="G34" s="26">
        <v>3</v>
      </c>
    </row>
    <row r="35" spans="1:7">
      <c r="A35" s="17">
        <v>46034</v>
      </c>
      <c r="B35" s="18" t="s">
        <v>37</v>
      </c>
      <c r="C35" s="18" t="s">
        <v>35</v>
      </c>
      <c r="D35" s="18" t="s">
        <v>35</v>
      </c>
      <c r="E35" s="19">
        <v>20</v>
      </c>
      <c r="F35" s="18" t="s">
        <v>87</v>
      </c>
      <c r="G35" s="26">
        <v>3</v>
      </c>
    </row>
    <row r="36" spans="1:7">
      <c r="A36" s="21">
        <v>46034</v>
      </c>
      <c r="B36" s="22" t="s">
        <v>37</v>
      </c>
      <c r="C36" s="22" t="s">
        <v>110</v>
      </c>
      <c r="D36" s="22" t="s">
        <v>105</v>
      </c>
      <c r="E36" s="23">
        <v>70</v>
      </c>
      <c r="F36" s="22" t="s">
        <v>87</v>
      </c>
      <c r="G36" s="26">
        <v>3</v>
      </c>
    </row>
    <row r="37" spans="1:7">
      <c r="A37" s="17">
        <v>46034</v>
      </c>
      <c r="B37" s="18" t="s">
        <v>37</v>
      </c>
      <c r="C37" s="18" t="s">
        <v>35</v>
      </c>
      <c r="D37" s="18" t="s">
        <v>35</v>
      </c>
      <c r="E37" s="19">
        <v>30</v>
      </c>
      <c r="F37" s="18" t="s">
        <v>87</v>
      </c>
      <c r="G37" s="26">
        <v>3</v>
      </c>
    </row>
    <row r="38" spans="1:7">
      <c r="A38" s="21">
        <v>46034</v>
      </c>
      <c r="B38" s="22" t="s">
        <v>37</v>
      </c>
      <c r="C38" s="22" t="s">
        <v>111</v>
      </c>
      <c r="D38" s="22" t="s">
        <v>71</v>
      </c>
      <c r="E38" s="23">
        <v>40</v>
      </c>
      <c r="F38" s="22" t="s">
        <v>87</v>
      </c>
      <c r="G38" s="26">
        <v>3</v>
      </c>
    </row>
    <row r="39" spans="1:7">
      <c r="A39" s="17">
        <v>46034</v>
      </c>
      <c r="B39" s="18" t="s">
        <v>37</v>
      </c>
      <c r="C39" s="18" t="s">
        <v>35</v>
      </c>
      <c r="D39" s="18" t="s">
        <v>35</v>
      </c>
      <c r="E39" s="19">
        <v>20</v>
      </c>
      <c r="F39" s="18" t="s">
        <v>87</v>
      </c>
      <c r="G39" s="26">
        <v>3</v>
      </c>
    </row>
    <row r="40" spans="1:7">
      <c r="A40" s="21">
        <v>46034</v>
      </c>
      <c r="B40" s="22" t="s">
        <v>37</v>
      </c>
      <c r="C40" s="22" t="s">
        <v>35</v>
      </c>
      <c r="D40" s="22" t="s">
        <v>35</v>
      </c>
      <c r="E40" s="23">
        <v>40</v>
      </c>
      <c r="F40" s="22" t="s">
        <v>87</v>
      </c>
      <c r="G40" s="26">
        <v>3</v>
      </c>
    </row>
    <row r="41" spans="1:7">
      <c r="A41" s="17">
        <v>46035</v>
      </c>
      <c r="B41" s="18" t="s">
        <v>41</v>
      </c>
      <c r="C41" s="18" t="s">
        <v>35</v>
      </c>
      <c r="D41" s="18" t="s">
        <v>35</v>
      </c>
      <c r="E41" s="19">
        <v>10</v>
      </c>
      <c r="F41" s="18" t="s">
        <v>87</v>
      </c>
      <c r="G41" s="26">
        <v>3</v>
      </c>
    </row>
    <row r="42" spans="1:7">
      <c r="A42" s="21">
        <v>46035</v>
      </c>
      <c r="B42" s="22" t="s">
        <v>41</v>
      </c>
      <c r="C42" s="22" t="s">
        <v>112</v>
      </c>
      <c r="D42" s="22" t="s">
        <v>105</v>
      </c>
      <c r="E42" s="23">
        <v>5</v>
      </c>
      <c r="F42" s="22" t="s">
        <v>87</v>
      </c>
      <c r="G42" s="26">
        <v>3</v>
      </c>
    </row>
    <row r="43" spans="1:7">
      <c r="A43" s="17">
        <v>46035</v>
      </c>
      <c r="B43" s="18" t="s">
        <v>41</v>
      </c>
      <c r="C43" s="18" t="s">
        <v>113</v>
      </c>
      <c r="D43" s="18" t="s">
        <v>114</v>
      </c>
      <c r="E43" s="19">
        <v>50</v>
      </c>
      <c r="F43" s="18" t="s">
        <v>87</v>
      </c>
      <c r="G43" s="26">
        <v>3</v>
      </c>
    </row>
    <row r="44" spans="1:7">
      <c r="A44" s="21">
        <v>46035</v>
      </c>
      <c r="B44" s="22" t="s">
        <v>41</v>
      </c>
      <c r="C44" s="22" t="s">
        <v>113</v>
      </c>
      <c r="D44" s="22" t="s">
        <v>114</v>
      </c>
      <c r="E44" s="23">
        <v>50</v>
      </c>
      <c r="F44" s="22" t="s">
        <v>87</v>
      </c>
      <c r="G44" s="26">
        <v>3</v>
      </c>
    </row>
    <row r="45" spans="1:7">
      <c r="A45" s="17">
        <v>46035</v>
      </c>
      <c r="B45" s="18" t="s">
        <v>41</v>
      </c>
      <c r="C45" s="18" t="s">
        <v>93</v>
      </c>
      <c r="D45" s="18" t="s">
        <v>93</v>
      </c>
      <c r="E45" s="19">
        <v>50</v>
      </c>
      <c r="F45" s="18" t="s">
        <v>87</v>
      </c>
      <c r="G45" s="26">
        <v>3</v>
      </c>
    </row>
    <row r="46" spans="1:7">
      <c r="A46" s="21">
        <v>46035</v>
      </c>
      <c r="B46" s="22" t="s">
        <v>41</v>
      </c>
      <c r="C46" s="22" t="s">
        <v>115</v>
      </c>
      <c r="D46" s="22" t="s">
        <v>35</v>
      </c>
      <c r="E46" s="23">
        <v>30</v>
      </c>
      <c r="F46" s="22" t="s">
        <v>87</v>
      </c>
      <c r="G46" s="26">
        <v>3</v>
      </c>
    </row>
    <row r="47" spans="1:7">
      <c r="A47" s="17">
        <v>46035</v>
      </c>
      <c r="B47" s="18" t="s">
        <v>41</v>
      </c>
      <c r="C47" s="18" t="s">
        <v>69</v>
      </c>
      <c r="D47" s="18" t="s">
        <v>69</v>
      </c>
      <c r="E47" s="19">
        <v>100</v>
      </c>
      <c r="F47" s="18" t="s">
        <v>87</v>
      </c>
      <c r="G47" s="26">
        <v>3</v>
      </c>
    </row>
    <row r="48" spans="1:7">
      <c r="A48" s="21">
        <v>46035</v>
      </c>
      <c r="B48" s="22" t="s">
        <v>41</v>
      </c>
      <c r="C48" s="22" t="s">
        <v>116</v>
      </c>
      <c r="D48" s="22" t="s">
        <v>86</v>
      </c>
      <c r="E48" s="23">
        <v>290</v>
      </c>
      <c r="F48" s="22" t="s">
        <v>87</v>
      </c>
      <c r="G48" s="26">
        <v>3</v>
      </c>
    </row>
    <row r="49" spans="1:7">
      <c r="A49" s="17">
        <v>46035</v>
      </c>
      <c r="B49" s="18" t="s">
        <v>41</v>
      </c>
      <c r="C49" s="18" t="s">
        <v>93</v>
      </c>
      <c r="D49" s="18" t="s">
        <v>93</v>
      </c>
      <c r="E49" s="19">
        <v>50</v>
      </c>
      <c r="F49" s="18" t="s">
        <v>87</v>
      </c>
      <c r="G49" s="26">
        <v>3</v>
      </c>
    </row>
    <row r="50" spans="1:7">
      <c r="A50" s="21">
        <v>46035</v>
      </c>
      <c r="B50" s="22" t="s">
        <v>41</v>
      </c>
      <c r="C50" s="22" t="s">
        <v>35</v>
      </c>
      <c r="D50" s="22" t="s">
        <v>35</v>
      </c>
      <c r="E50" s="23">
        <v>20</v>
      </c>
      <c r="F50" s="22" t="s">
        <v>87</v>
      </c>
      <c r="G50" s="26">
        <v>3</v>
      </c>
    </row>
    <row r="51" spans="1:7">
      <c r="A51" s="21">
        <v>46035</v>
      </c>
      <c r="B51" s="22" t="s">
        <v>41</v>
      </c>
      <c r="C51" s="22" t="s">
        <v>117</v>
      </c>
      <c r="D51" s="22" t="s">
        <v>118</v>
      </c>
      <c r="E51" s="23">
        <v>250</v>
      </c>
      <c r="F51" s="22" t="s">
        <v>87</v>
      </c>
      <c r="G51" s="26">
        <v>3</v>
      </c>
    </row>
    <row r="52" spans="1:7">
      <c r="A52" s="17">
        <v>46035</v>
      </c>
      <c r="B52" s="18" t="s">
        <v>41</v>
      </c>
      <c r="C52" s="18" t="s">
        <v>35</v>
      </c>
      <c r="D52" s="18" t="s">
        <v>35</v>
      </c>
      <c r="E52" s="19">
        <v>20</v>
      </c>
      <c r="F52" s="18" t="s">
        <v>87</v>
      </c>
      <c r="G52" s="26">
        <v>3</v>
      </c>
    </row>
    <row r="53" spans="1:7">
      <c r="A53" s="21">
        <v>46035</v>
      </c>
      <c r="B53" s="22" t="s">
        <v>41</v>
      </c>
      <c r="C53" s="22" t="s">
        <v>43</v>
      </c>
      <c r="D53" s="22" t="s">
        <v>86</v>
      </c>
      <c r="E53" s="23">
        <v>20</v>
      </c>
      <c r="F53" s="22" t="s">
        <v>87</v>
      </c>
      <c r="G53" s="26">
        <v>3</v>
      </c>
    </row>
    <row r="54" spans="1:7">
      <c r="A54" s="17">
        <v>46035</v>
      </c>
      <c r="B54" s="18" t="s">
        <v>41</v>
      </c>
      <c r="C54" s="18" t="s">
        <v>93</v>
      </c>
      <c r="D54" s="18" t="s">
        <v>93</v>
      </c>
      <c r="E54" s="19">
        <v>50</v>
      </c>
      <c r="F54" s="18" t="s">
        <v>87</v>
      </c>
      <c r="G54" s="26">
        <v>3</v>
      </c>
    </row>
    <row r="55" spans="1:7">
      <c r="A55" s="21">
        <v>46035</v>
      </c>
      <c r="B55" s="22" t="s">
        <v>41</v>
      </c>
      <c r="C55" s="22" t="s">
        <v>94</v>
      </c>
      <c r="D55" s="22" t="s">
        <v>95</v>
      </c>
      <c r="E55" s="23">
        <v>250</v>
      </c>
      <c r="F55" s="22" t="s">
        <v>87</v>
      </c>
      <c r="G55" s="26">
        <v>3</v>
      </c>
    </row>
    <row r="56" spans="1:7">
      <c r="A56" s="17">
        <v>46035</v>
      </c>
      <c r="B56" s="18" t="s">
        <v>41</v>
      </c>
      <c r="C56" s="18" t="s">
        <v>35</v>
      </c>
      <c r="D56" s="18" t="s">
        <v>35</v>
      </c>
      <c r="E56" s="19">
        <v>10</v>
      </c>
      <c r="F56" s="18" t="s">
        <v>87</v>
      </c>
      <c r="G56" s="26">
        <v>3</v>
      </c>
    </row>
    <row r="57" spans="1:7">
      <c r="A57" s="21">
        <v>46035</v>
      </c>
      <c r="B57" s="22" t="s">
        <v>41</v>
      </c>
      <c r="C57" s="22" t="s">
        <v>92</v>
      </c>
      <c r="D57" s="22" t="s">
        <v>80</v>
      </c>
      <c r="E57" s="23">
        <v>125</v>
      </c>
      <c r="F57" s="22" t="s">
        <v>87</v>
      </c>
      <c r="G57" s="26">
        <v>3</v>
      </c>
    </row>
    <row r="58" spans="1:7">
      <c r="A58" s="17">
        <v>46035</v>
      </c>
      <c r="B58" s="18" t="s">
        <v>41</v>
      </c>
      <c r="C58" s="18" t="s">
        <v>35</v>
      </c>
      <c r="D58" s="18" t="s">
        <v>35</v>
      </c>
      <c r="E58" s="19">
        <v>50</v>
      </c>
      <c r="F58" s="18" t="s">
        <v>87</v>
      </c>
      <c r="G58" s="26">
        <v>3</v>
      </c>
    </row>
    <row r="59" spans="1:7">
      <c r="A59" s="21">
        <v>46035</v>
      </c>
      <c r="B59" s="22" t="s">
        <v>41</v>
      </c>
      <c r="C59" s="22" t="s">
        <v>94</v>
      </c>
      <c r="D59" s="22" t="s">
        <v>95</v>
      </c>
      <c r="E59" s="23">
        <v>200</v>
      </c>
      <c r="F59" s="22" t="s">
        <v>87</v>
      </c>
      <c r="G59" s="26">
        <v>3</v>
      </c>
    </row>
    <row r="60" spans="1:7">
      <c r="A60" s="21">
        <v>46035</v>
      </c>
      <c r="B60" s="22" t="s">
        <v>41</v>
      </c>
      <c r="C60" s="22" t="s">
        <v>115</v>
      </c>
      <c r="D60" s="22" t="s">
        <v>35</v>
      </c>
      <c r="E60" s="23">
        <v>50</v>
      </c>
      <c r="F60" s="22" t="s">
        <v>87</v>
      </c>
      <c r="G60" s="26">
        <v>3</v>
      </c>
    </row>
    <row r="61" spans="1:7">
      <c r="A61" s="17">
        <v>46035</v>
      </c>
      <c r="B61" s="18" t="s">
        <v>41</v>
      </c>
      <c r="C61" s="18" t="s">
        <v>93</v>
      </c>
      <c r="D61" s="18" t="s">
        <v>93</v>
      </c>
      <c r="E61" s="19">
        <v>50</v>
      </c>
      <c r="F61" s="18" t="s">
        <v>87</v>
      </c>
      <c r="G61" s="26">
        <v>3</v>
      </c>
    </row>
    <row r="62" spans="1:7">
      <c r="A62" s="17">
        <v>46036</v>
      </c>
      <c r="B62" s="18" t="s">
        <v>45</v>
      </c>
      <c r="C62" s="18" t="s">
        <v>119</v>
      </c>
      <c r="D62" s="18" t="s">
        <v>91</v>
      </c>
      <c r="E62" s="19">
        <v>60</v>
      </c>
      <c r="F62" s="18" t="s">
        <v>87</v>
      </c>
      <c r="G62" s="26">
        <v>3</v>
      </c>
    </row>
    <row r="63" spans="1:7">
      <c r="A63" s="21">
        <v>46036</v>
      </c>
      <c r="B63" s="22" t="s">
        <v>45</v>
      </c>
      <c r="C63" s="22" t="s">
        <v>93</v>
      </c>
      <c r="D63" s="22" t="s">
        <v>93</v>
      </c>
      <c r="E63" s="23">
        <v>50</v>
      </c>
      <c r="F63" s="22" t="s">
        <v>87</v>
      </c>
      <c r="G63" s="26">
        <v>3</v>
      </c>
    </row>
    <row r="64" spans="1:7">
      <c r="A64" s="17">
        <v>46036</v>
      </c>
      <c r="B64" s="18" t="s">
        <v>45</v>
      </c>
      <c r="C64" s="18" t="s">
        <v>35</v>
      </c>
      <c r="D64" s="18" t="s">
        <v>35</v>
      </c>
      <c r="E64" s="19">
        <v>20</v>
      </c>
      <c r="F64" s="18" t="s">
        <v>87</v>
      </c>
      <c r="G64" s="26">
        <v>3</v>
      </c>
    </row>
    <row r="65" spans="1:7">
      <c r="A65" s="21">
        <v>46036</v>
      </c>
      <c r="B65" s="22" t="s">
        <v>45</v>
      </c>
      <c r="C65" s="22" t="s">
        <v>93</v>
      </c>
      <c r="D65" s="22" t="s">
        <v>93</v>
      </c>
      <c r="E65" s="23">
        <v>50</v>
      </c>
      <c r="F65" s="22" t="s">
        <v>87</v>
      </c>
      <c r="G65" s="26">
        <v>3</v>
      </c>
    </row>
    <row r="66" spans="1:7">
      <c r="A66" s="17">
        <v>46036</v>
      </c>
      <c r="B66" s="18" t="s">
        <v>45</v>
      </c>
      <c r="C66" s="18" t="s">
        <v>120</v>
      </c>
      <c r="D66" s="18" t="s">
        <v>35</v>
      </c>
      <c r="E66" s="19">
        <v>335</v>
      </c>
      <c r="F66" s="18" t="s">
        <v>87</v>
      </c>
      <c r="G66" s="26">
        <v>3</v>
      </c>
    </row>
    <row r="67" spans="1:7">
      <c r="A67" s="21">
        <v>46036</v>
      </c>
      <c r="B67" s="22" t="s">
        <v>45</v>
      </c>
      <c r="C67" s="22" t="s">
        <v>35</v>
      </c>
      <c r="D67" s="22" t="s">
        <v>35</v>
      </c>
      <c r="E67" s="23">
        <v>20</v>
      </c>
      <c r="F67" s="22" t="s">
        <v>87</v>
      </c>
      <c r="G67" s="26">
        <v>3</v>
      </c>
    </row>
    <row r="68" spans="1:7">
      <c r="A68" s="17">
        <v>46036</v>
      </c>
      <c r="B68" s="18" t="s">
        <v>45</v>
      </c>
      <c r="C68" s="18" t="s">
        <v>121</v>
      </c>
      <c r="D68" s="18" t="s">
        <v>86</v>
      </c>
      <c r="E68" s="19">
        <v>5</v>
      </c>
      <c r="F68" s="18" t="s">
        <v>87</v>
      </c>
      <c r="G68" s="26">
        <v>3</v>
      </c>
    </row>
    <row r="69" spans="1:7">
      <c r="A69" s="21">
        <v>46036</v>
      </c>
      <c r="B69" s="22" t="s">
        <v>45</v>
      </c>
      <c r="C69" s="22" t="s">
        <v>35</v>
      </c>
      <c r="D69" s="22" t="s">
        <v>35</v>
      </c>
      <c r="E69" s="23">
        <v>220</v>
      </c>
      <c r="F69" s="22" t="s">
        <v>87</v>
      </c>
      <c r="G69" s="26">
        <v>3</v>
      </c>
    </row>
    <row r="70" spans="1:7">
      <c r="A70" s="17">
        <v>46036</v>
      </c>
      <c r="B70" s="18" t="s">
        <v>45</v>
      </c>
      <c r="C70" s="18" t="s">
        <v>93</v>
      </c>
      <c r="D70" s="18" t="s">
        <v>93</v>
      </c>
      <c r="E70" s="19">
        <v>30</v>
      </c>
      <c r="F70" s="18" t="s">
        <v>87</v>
      </c>
      <c r="G70" s="26">
        <v>3</v>
      </c>
    </row>
    <row r="71" spans="1:7">
      <c r="A71" s="17">
        <v>46036</v>
      </c>
      <c r="B71" s="18" t="s">
        <v>45</v>
      </c>
      <c r="C71" s="18" t="s">
        <v>35</v>
      </c>
      <c r="D71" s="18" t="s">
        <v>35</v>
      </c>
      <c r="E71" s="19">
        <v>20</v>
      </c>
      <c r="F71" s="18" t="s">
        <v>87</v>
      </c>
      <c r="G71" s="26">
        <v>3</v>
      </c>
    </row>
    <row r="72" spans="1:7">
      <c r="A72" s="21">
        <v>46036</v>
      </c>
      <c r="B72" s="22" t="s">
        <v>45</v>
      </c>
      <c r="C72" s="22" t="s">
        <v>122</v>
      </c>
      <c r="D72" s="22" t="s">
        <v>118</v>
      </c>
      <c r="E72" s="23">
        <v>250</v>
      </c>
      <c r="F72" s="22" t="s">
        <v>87</v>
      </c>
      <c r="G72" s="26">
        <v>3</v>
      </c>
    </row>
    <row r="73" spans="1:7">
      <c r="A73" s="17">
        <v>46036</v>
      </c>
      <c r="B73" s="18" t="s">
        <v>45</v>
      </c>
      <c r="C73" s="18" t="s">
        <v>123</v>
      </c>
      <c r="D73" s="18" t="s">
        <v>124</v>
      </c>
      <c r="E73" s="19">
        <v>100</v>
      </c>
      <c r="F73" s="18" t="s">
        <v>87</v>
      </c>
      <c r="G73" s="26">
        <v>3</v>
      </c>
    </row>
    <row r="74" spans="1:7">
      <c r="A74" s="21">
        <v>46036</v>
      </c>
      <c r="B74" s="22" t="s">
        <v>45</v>
      </c>
      <c r="C74" s="22" t="s">
        <v>35</v>
      </c>
      <c r="D74" s="22" t="s">
        <v>35</v>
      </c>
      <c r="E74" s="23">
        <v>40</v>
      </c>
      <c r="F74" s="22" t="s">
        <v>87</v>
      </c>
      <c r="G74" s="26">
        <v>3</v>
      </c>
    </row>
    <row r="75" spans="1:7">
      <c r="A75" s="17">
        <v>46036</v>
      </c>
      <c r="B75" s="18" t="s">
        <v>45</v>
      </c>
      <c r="C75" s="18" t="s">
        <v>35</v>
      </c>
      <c r="D75" s="18" t="s">
        <v>35</v>
      </c>
      <c r="E75" s="19">
        <v>20</v>
      </c>
      <c r="F75" s="18" t="s">
        <v>87</v>
      </c>
      <c r="G75" s="26">
        <v>3</v>
      </c>
    </row>
    <row r="76" spans="1:7">
      <c r="A76" s="21">
        <v>46036</v>
      </c>
      <c r="B76" s="22" t="s">
        <v>45</v>
      </c>
      <c r="C76" s="22" t="s">
        <v>93</v>
      </c>
      <c r="D76" s="22" t="s">
        <v>93</v>
      </c>
      <c r="E76" s="23">
        <v>50</v>
      </c>
      <c r="F76" s="22" t="s">
        <v>87</v>
      </c>
      <c r="G76" s="26">
        <v>3</v>
      </c>
    </row>
    <row r="77" spans="1:7">
      <c r="A77" s="17">
        <v>46036</v>
      </c>
      <c r="B77" s="18" t="s">
        <v>45</v>
      </c>
      <c r="C77" s="18" t="s">
        <v>43</v>
      </c>
      <c r="D77" s="18" t="s">
        <v>86</v>
      </c>
      <c r="E77" s="19">
        <v>10</v>
      </c>
      <c r="F77" s="18" t="s">
        <v>87</v>
      </c>
      <c r="G77" s="26">
        <v>3</v>
      </c>
    </row>
    <row r="78" spans="1:7">
      <c r="A78" s="21">
        <v>46036</v>
      </c>
      <c r="B78" s="22" t="s">
        <v>45</v>
      </c>
      <c r="C78" s="22" t="s">
        <v>35</v>
      </c>
      <c r="D78" s="22" t="s">
        <v>35</v>
      </c>
      <c r="E78" s="23">
        <v>20</v>
      </c>
      <c r="F78" s="22" t="s">
        <v>87</v>
      </c>
      <c r="G78" s="26">
        <v>3</v>
      </c>
    </row>
    <row r="79" spans="1:7">
      <c r="A79" s="17">
        <v>46037</v>
      </c>
      <c r="B79" s="18" t="s">
        <v>50</v>
      </c>
      <c r="C79" s="18" t="s">
        <v>125</v>
      </c>
      <c r="D79" s="18" t="s">
        <v>86</v>
      </c>
      <c r="E79" s="19">
        <v>125</v>
      </c>
      <c r="F79" s="18" t="s">
        <v>87</v>
      </c>
      <c r="G79" s="26">
        <v>3</v>
      </c>
    </row>
    <row r="80" spans="1:7">
      <c r="A80" s="21">
        <v>46037</v>
      </c>
      <c r="B80" s="22" t="s">
        <v>50</v>
      </c>
      <c r="C80" s="22" t="s">
        <v>126</v>
      </c>
      <c r="D80" s="22" t="s">
        <v>35</v>
      </c>
      <c r="E80" s="23">
        <v>210</v>
      </c>
      <c r="F80" s="22" t="s">
        <v>87</v>
      </c>
      <c r="G80" s="26">
        <v>3</v>
      </c>
    </row>
    <row r="81" spans="1:7">
      <c r="A81" s="21">
        <v>46037</v>
      </c>
      <c r="B81" s="22" t="s">
        <v>50</v>
      </c>
      <c r="C81" s="22" t="s">
        <v>43</v>
      </c>
      <c r="D81" s="22" t="s">
        <v>86</v>
      </c>
      <c r="E81" s="23">
        <v>10</v>
      </c>
      <c r="F81" s="22" t="s">
        <v>87</v>
      </c>
      <c r="G81" s="26">
        <v>3</v>
      </c>
    </row>
    <row r="82" spans="1:7">
      <c r="A82" s="17">
        <v>46037</v>
      </c>
      <c r="B82" s="18" t="s">
        <v>50</v>
      </c>
      <c r="C82" s="18" t="s">
        <v>35</v>
      </c>
      <c r="D82" s="18" t="s">
        <v>35</v>
      </c>
      <c r="E82" s="19">
        <v>30</v>
      </c>
      <c r="F82" s="18" t="s">
        <v>87</v>
      </c>
      <c r="G82" s="26">
        <v>3</v>
      </c>
    </row>
    <row r="83" spans="1:7">
      <c r="A83" s="21">
        <v>46037</v>
      </c>
      <c r="B83" s="22" t="s">
        <v>50</v>
      </c>
      <c r="C83" s="22" t="s">
        <v>127</v>
      </c>
      <c r="D83" s="22" t="s">
        <v>107</v>
      </c>
      <c r="E83" s="23">
        <v>20</v>
      </c>
      <c r="F83" s="22" t="s">
        <v>87</v>
      </c>
      <c r="G83" s="26">
        <v>3</v>
      </c>
    </row>
    <row r="84" spans="1:7">
      <c r="A84" s="17">
        <v>46037</v>
      </c>
      <c r="B84" s="18" t="s">
        <v>50</v>
      </c>
      <c r="C84" s="18" t="s">
        <v>128</v>
      </c>
      <c r="D84" s="18" t="s">
        <v>95</v>
      </c>
      <c r="E84" s="19">
        <v>210</v>
      </c>
      <c r="F84" s="18" t="s">
        <v>87</v>
      </c>
      <c r="G84" s="26">
        <v>3</v>
      </c>
    </row>
    <row r="85" spans="1:7">
      <c r="A85" s="21">
        <v>46037</v>
      </c>
      <c r="B85" s="22" t="s">
        <v>50</v>
      </c>
      <c r="C85" s="22" t="s">
        <v>35</v>
      </c>
      <c r="D85" s="22" t="s">
        <v>35</v>
      </c>
      <c r="E85" s="23">
        <v>20</v>
      </c>
      <c r="F85" s="22" t="s">
        <v>87</v>
      </c>
      <c r="G85" s="26">
        <v>3</v>
      </c>
    </row>
    <row r="86" spans="1:7">
      <c r="A86" s="17">
        <v>46037</v>
      </c>
      <c r="B86" s="18" t="s">
        <v>50</v>
      </c>
      <c r="C86" s="18" t="s">
        <v>43</v>
      </c>
      <c r="D86" s="18" t="s">
        <v>86</v>
      </c>
      <c r="E86" s="19">
        <v>20</v>
      </c>
      <c r="F86" s="18" t="s">
        <v>87</v>
      </c>
      <c r="G86" s="26">
        <v>3</v>
      </c>
    </row>
    <row r="87" spans="1:7">
      <c r="A87" s="21">
        <v>46037</v>
      </c>
      <c r="B87" s="22" t="s">
        <v>50</v>
      </c>
      <c r="C87" s="22" t="s">
        <v>129</v>
      </c>
      <c r="D87" s="22" t="s">
        <v>114</v>
      </c>
      <c r="E87" s="23">
        <v>150</v>
      </c>
      <c r="F87" s="22" t="s">
        <v>87</v>
      </c>
      <c r="G87" s="26">
        <v>3</v>
      </c>
    </row>
    <row r="88" spans="1:7">
      <c r="A88" s="21">
        <v>46037</v>
      </c>
      <c r="B88" s="22" t="s">
        <v>50</v>
      </c>
      <c r="C88" s="22" t="s">
        <v>130</v>
      </c>
      <c r="D88" s="22" t="s">
        <v>35</v>
      </c>
      <c r="E88" s="23">
        <v>140</v>
      </c>
      <c r="F88" s="22" t="s">
        <v>87</v>
      </c>
      <c r="G88" s="26">
        <v>3</v>
      </c>
    </row>
    <row r="89" spans="1:7">
      <c r="A89" s="21">
        <v>46037</v>
      </c>
      <c r="B89" s="22" t="s">
        <v>50</v>
      </c>
      <c r="C89" s="22" t="s">
        <v>131</v>
      </c>
      <c r="D89" s="22" t="s">
        <v>124</v>
      </c>
      <c r="E89" s="23">
        <v>200</v>
      </c>
      <c r="F89" s="22" t="s">
        <v>87</v>
      </c>
      <c r="G89" s="26">
        <v>3</v>
      </c>
    </row>
    <row r="90" spans="1:7">
      <c r="A90" s="17">
        <v>46037</v>
      </c>
      <c r="B90" s="18" t="s">
        <v>50</v>
      </c>
      <c r="C90" s="18" t="s">
        <v>132</v>
      </c>
      <c r="D90" s="18" t="s">
        <v>86</v>
      </c>
      <c r="E90" s="19">
        <v>100</v>
      </c>
      <c r="F90" s="18" t="s">
        <v>87</v>
      </c>
      <c r="G90" s="26">
        <v>3</v>
      </c>
    </row>
    <row r="91" spans="1:7">
      <c r="A91" s="21">
        <v>46037</v>
      </c>
      <c r="B91" s="22" t="s">
        <v>50</v>
      </c>
      <c r="C91" s="22" t="s">
        <v>35</v>
      </c>
      <c r="D91" s="22" t="s">
        <v>35</v>
      </c>
      <c r="E91" s="23">
        <v>200</v>
      </c>
      <c r="F91" s="22" t="s">
        <v>87</v>
      </c>
      <c r="G91" s="26">
        <v>3</v>
      </c>
    </row>
    <row r="92" spans="1:7">
      <c r="A92" s="17">
        <v>46037</v>
      </c>
      <c r="B92" s="18" t="s">
        <v>50</v>
      </c>
      <c r="C92" s="18" t="s">
        <v>35</v>
      </c>
      <c r="D92" s="18" t="s">
        <v>35</v>
      </c>
      <c r="E92" s="19">
        <v>20</v>
      </c>
      <c r="F92" s="18" t="s">
        <v>87</v>
      </c>
      <c r="G92" s="26">
        <v>3</v>
      </c>
    </row>
    <row r="93" spans="1:7">
      <c r="A93" s="21">
        <v>46037</v>
      </c>
      <c r="B93" s="22" t="s">
        <v>50</v>
      </c>
      <c r="C93" s="22" t="s">
        <v>35</v>
      </c>
      <c r="D93" s="22" t="s">
        <v>35</v>
      </c>
      <c r="E93" s="23">
        <v>50</v>
      </c>
      <c r="F93" s="22" t="s">
        <v>87</v>
      </c>
      <c r="G93" s="26">
        <v>3</v>
      </c>
    </row>
    <row r="94" spans="1:7">
      <c r="A94" s="17">
        <v>46037</v>
      </c>
      <c r="B94" s="18" t="s">
        <v>50</v>
      </c>
      <c r="C94" s="18" t="s">
        <v>93</v>
      </c>
      <c r="D94" s="18" t="s">
        <v>93</v>
      </c>
      <c r="E94" s="19">
        <v>50</v>
      </c>
      <c r="F94" s="18" t="s">
        <v>87</v>
      </c>
      <c r="G94" s="26">
        <v>3</v>
      </c>
    </row>
    <row r="95" spans="1:7">
      <c r="A95" s="21">
        <v>46037</v>
      </c>
      <c r="B95" s="22" t="s">
        <v>50</v>
      </c>
      <c r="C95" s="22" t="s">
        <v>133</v>
      </c>
      <c r="D95" s="22" t="s">
        <v>86</v>
      </c>
      <c r="E95" s="23">
        <v>105</v>
      </c>
      <c r="F95" s="22" t="s">
        <v>87</v>
      </c>
      <c r="G95" s="26">
        <v>3</v>
      </c>
    </row>
    <row r="96" spans="1:7">
      <c r="A96" s="21">
        <v>46037</v>
      </c>
      <c r="B96" s="22" t="s">
        <v>50</v>
      </c>
      <c r="C96" s="22" t="s">
        <v>35</v>
      </c>
      <c r="D96" s="22" t="s">
        <v>35</v>
      </c>
      <c r="E96" s="23">
        <v>20</v>
      </c>
      <c r="F96" s="22" t="s">
        <v>87</v>
      </c>
      <c r="G96" s="26">
        <v>3</v>
      </c>
    </row>
    <row r="97" spans="1:7">
      <c r="A97" s="17">
        <v>46037</v>
      </c>
      <c r="B97" s="18" t="s">
        <v>50</v>
      </c>
      <c r="C97" s="18" t="s">
        <v>121</v>
      </c>
      <c r="D97" s="18" t="s">
        <v>86</v>
      </c>
      <c r="E97" s="19">
        <v>10</v>
      </c>
      <c r="F97" s="18" t="s">
        <v>87</v>
      </c>
      <c r="G97" s="26">
        <v>3</v>
      </c>
    </row>
    <row r="98" spans="1:7">
      <c r="A98" s="21">
        <v>46037</v>
      </c>
      <c r="B98" s="22" t="s">
        <v>50</v>
      </c>
      <c r="C98" s="22" t="s">
        <v>35</v>
      </c>
      <c r="D98" s="22" t="s">
        <v>35</v>
      </c>
      <c r="E98" s="23">
        <v>100</v>
      </c>
      <c r="F98" s="22" t="s">
        <v>87</v>
      </c>
      <c r="G98" s="26">
        <v>3</v>
      </c>
    </row>
    <row r="99" spans="1:7">
      <c r="A99" s="21">
        <v>46037</v>
      </c>
      <c r="B99" s="22" t="s">
        <v>50</v>
      </c>
      <c r="C99" s="22" t="s">
        <v>134</v>
      </c>
      <c r="D99" s="22" t="s">
        <v>105</v>
      </c>
      <c r="E99" s="23">
        <v>50</v>
      </c>
      <c r="F99" s="22" t="s">
        <v>87</v>
      </c>
      <c r="G99" s="26">
        <v>3</v>
      </c>
    </row>
    <row r="100" spans="1:7">
      <c r="A100" s="21">
        <v>46038</v>
      </c>
      <c r="B100" s="22" t="s">
        <v>54</v>
      </c>
      <c r="C100" s="22" t="s">
        <v>135</v>
      </c>
      <c r="D100" s="22" t="s">
        <v>95</v>
      </c>
      <c r="E100" s="23">
        <v>250</v>
      </c>
      <c r="F100" s="22" t="s">
        <v>87</v>
      </c>
      <c r="G100" s="26">
        <v>3</v>
      </c>
    </row>
    <row r="101" spans="1:7">
      <c r="A101" s="17">
        <v>46038</v>
      </c>
      <c r="B101" s="18" t="s">
        <v>54</v>
      </c>
      <c r="C101" s="18" t="s">
        <v>136</v>
      </c>
      <c r="D101" s="18" t="s">
        <v>105</v>
      </c>
      <c r="E101" s="19">
        <v>50</v>
      </c>
      <c r="F101" s="18" t="s">
        <v>87</v>
      </c>
      <c r="G101" s="26">
        <v>3</v>
      </c>
    </row>
    <row r="102" spans="1:7">
      <c r="A102" s="21">
        <v>46038</v>
      </c>
      <c r="B102" s="22" t="s">
        <v>54</v>
      </c>
      <c r="C102" s="22" t="s">
        <v>93</v>
      </c>
      <c r="D102" s="22" t="s">
        <v>93</v>
      </c>
      <c r="E102" s="23">
        <v>50</v>
      </c>
      <c r="F102" s="22" t="s">
        <v>87</v>
      </c>
      <c r="G102" s="26">
        <v>3</v>
      </c>
    </row>
    <row r="103" spans="1:7">
      <c r="A103" s="17">
        <v>46038</v>
      </c>
      <c r="B103" s="18" t="s">
        <v>54</v>
      </c>
      <c r="C103" s="18" t="s">
        <v>93</v>
      </c>
      <c r="D103" s="18" t="s">
        <v>93</v>
      </c>
      <c r="E103" s="19">
        <v>50</v>
      </c>
      <c r="F103" s="18" t="s">
        <v>87</v>
      </c>
      <c r="G103" s="26">
        <v>3</v>
      </c>
    </row>
    <row r="104" spans="1:7">
      <c r="A104" s="17">
        <v>46038</v>
      </c>
      <c r="B104" s="18" t="s">
        <v>54</v>
      </c>
      <c r="C104" s="18" t="s">
        <v>35</v>
      </c>
      <c r="D104" s="18" t="s">
        <v>35</v>
      </c>
      <c r="E104" s="19">
        <v>260</v>
      </c>
      <c r="F104" s="18" t="s">
        <v>87</v>
      </c>
      <c r="G104" s="26">
        <v>3</v>
      </c>
    </row>
    <row r="105" spans="1:7">
      <c r="A105" s="21">
        <v>46038</v>
      </c>
      <c r="B105" s="22" t="s">
        <v>54</v>
      </c>
      <c r="C105" s="22" t="s">
        <v>137</v>
      </c>
      <c r="D105" s="22" t="s">
        <v>95</v>
      </c>
      <c r="E105" s="23">
        <v>50</v>
      </c>
      <c r="F105" s="22" t="s">
        <v>87</v>
      </c>
      <c r="G105" s="26">
        <v>3</v>
      </c>
    </row>
    <row r="106" spans="1:7">
      <c r="A106" s="17">
        <v>46038</v>
      </c>
      <c r="B106" s="18" t="s">
        <v>54</v>
      </c>
      <c r="C106" s="18" t="s">
        <v>121</v>
      </c>
      <c r="D106" s="18" t="s">
        <v>86</v>
      </c>
      <c r="E106" s="19">
        <v>5</v>
      </c>
      <c r="F106" s="18" t="s">
        <v>87</v>
      </c>
      <c r="G106" s="26">
        <v>3</v>
      </c>
    </row>
    <row r="107" spans="1:7">
      <c r="A107" s="21">
        <v>46038</v>
      </c>
      <c r="B107" s="22" t="s">
        <v>54</v>
      </c>
      <c r="C107" s="22" t="s">
        <v>35</v>
      </c>
      <c r="D107" s="22" t="s">
        <v>35</v>
      </c>
      <c r="E107" s="23">
        <v>60</v>
      </c>
      <c r="F107" s="22" t="s">
        <v>87</v>
      </c>
      <c r="G107" s="26">
        <v>3</v>
      </c>
    </row>
    <row r="108" spans="1:7">
      <c r="A108" s="17">
        <v>46038</v>
      </c>
      <c r="B108" s="18" t="s">
        <v>54</v>
      </c>
      <c r="C108" s="18" t="s">
        <v>138</v>
      </c>
      <c r="D108" s="18" t="s">
        <v>105</v>
      </c>
      <c r="E108" s="19">
        <v>630</v>
      </c>
      <c r="F108" s="18" t="s">
        <v>87</v>
      </c>
      <c r="G108" s="26">
        <v>3</v>
      </c>
    </row>
    <row r="109" spans="1:7">
      <c r="A109" s="17">
        <v>46038</v>
      </c>
      <c r="B109" s="18" t="s">
        <v>54</v>
      </c>
      <c r="C109" s="18" t="s">
        <v>139</v>
      </c>
      <c r="D109" s="18" t="s">
        <v>71</v>
      </c>
      <c r="E109" s="19">
        <v>30</v>
      </c>
      <c r="F109" s="18" t="s">
        <v>87</v>
      </c>
      <c r="G109" s="26">
        <v>3</v>
      </c>
    </row>
    <row r="110" spans="1:7">
      <c r="A110" s="17">
        <v>46038</v>
      </c>
      <c r="B110" s="18" t="s">
        <v>54</v>
      </c>
      <c r="C110" s="18" t="s">
        <v>140</v>
      </c>
      <c r="D110" s="18" t="s">
        <v>35</v>
      </c>
      <c r="E110" s="19">
        <v>200</v>
      </c>
      <c r="F110" s="18" t="s">
        <v>87</v>
      </c>
      <c r="G110" s="26">
        <v>3</v>
      </c>
    </row>
    <row r="111" spans="1:7">
      <c r="A111" s="21">
        <v>46038</v>
      </c>
      <c r="B111" s="22" t="s">
        <v>54</v>
      </c>
      <c r="C111" s="22" t="s">
        <v>141</v>
      </c>
      <c r="D111" s="22" t="s">
        <v>35</v>
      </c>
      <c r="E111" s="23">
        <v>100</v>
      </c>
      <c r="F111" s="22" t="s">
        <v>87</v>
      </c>
      <c r="G111" s="26">
        <v>3</v>
      </c>
    </row>
    <row r="112" spans="1:7">
      <c r="A112" s="17">
        <v>46038</v>
      </c>
      <c r="B112" s="18" t="s">
        <v>54</v>
      </c>
      <c r="C112" s="18" t="s">
        <v>35</v>
      </c>
      <c r="D112" s="18" t="s">
        <v>35</v>
      </c>
      <c r="E112" s="19">
        <v>20</v>
      </c>
      <c r="F112" s="18" t="s">
        <v>87</v>
      </c>
      <c r="G112" s="26">
        <v>3</v>
      </c>
    </row>
    <row r="113" spans="1:7">
      <c r="A113" s="21">
        <v>46038</v>
      </c>
      <c r="B113" s="22" t="s">
        <v>54</v>
      </c>
      <c r="C113" s="22" t="s">
        <v>142</v>
      </c>
      <c r="D113" s="22" t="s">
        <v>105</v>
      </c>
      <c r="E113" s="23">
        <v>100</v>
      </c>
      <c r="F113" s="22" t="s">
        <v>87</v>
      </c>
      <c r="G113" s="26">
        <v>3</v>
      </c>
    </row>
    <row r="114" spans="1:7">
      <c r="A114" s="21">
        <v>46038</v>
      </c>
      <c r="B114" s="22" t="s">
        <v>54</v>
      </c>
      <c r="C114" s="22" t="s">
        <v>143</v>
      </c>
      <c r="D114" s="22" t="s">
        <v>35</v>
      </c>
      <c r="E114" s="23">
        <v>1500</v>
      </c>
      <c r="F114" s="22" t="s">
        <v>87</v>
      </c>
      <c r="G114" s="26">
        <v>3</v>
      </c>
    </row>
    <row r="115" spans="1:7">
      <c r="A115" s="17">
        <v>46038</v>
      </c>
      <c r="B115" s="18" t="s">
        <v>54</v>
      </c>
      <c r="C115" s="18" t="s">
        <v>35</v>
      </c>
      <c r="D115" s="18" t="s">
        <v>35</v>
      </c>
      <c r="E115" s="19">
        <v>20</v>
      </c>
      <c r="F115" s="18" t="s">
        <v>87</v>
      </c>
      <c r="G115" s="26">
        <v>3</v>
      </c>
    </row>
    <row r="116" spans="1:7">
      <c r="A116" s="17">
        <v>46038</v>
      </c>
      <c r="B116" s="18" t="s">
        <v>54</v>
      </c>
      <c r="C116" s="18" t="s">
        <v>35</v>
      </c>
      <c r="D116" s="18" t="s">
        <v>35</v>
      </c>
      <c r="E116" s="19">
        <v>20</v>
      </c>
      <c r="F116" s="18" t="s">
        <v>87</v>
      </c>
      <c r="G116" s="26">
        <v>3</v>
      </c>
    </row>
    <row r="117" spans="1:7">
      <c r="A117" s="21">
        <v>46038</v>
      </c>
      <c r="B117" s="22" t="s">
        <v>54</v>
      </c>
      <c r="C117" s="22" t="s">
        <v>35</v>
      </c>
      <c r="D117" s="22" t="s">
        <v>35</v>
      </c>
      <c r="E117" s="23">
        <v>40</v>
      </c>
      <c r="F117" s="22" t="s">
        <v>87</v>
      </c>
      <c r="G117" s="26">
        <v>3</v>
      </c>
    </row>
    <row r="118" spans="1:7">
      <c r="A118" s="17">
        <v>46038</v>
      </c>
      <c r="B118" s="18" t="s">
        <v>54</v>
      </c>
      <c r="C118" s="18" t="s">
        <v>35</v>
      </c>
      <c r="D118" s="18" t="s">
        <v>35</v>
      </c>
      <c r="E118" s="19">
        <v>80</v>
      </c>
      <c r="F118" s="18" t="s">
        <v>87</v>
      </c>
      <c r="G118" s="26">
        <v>3</v>
      </c>
    </row>
    <row r="119" spans="1:7">
      <c r="A119" s="21">
        <v>46038</v>
      </c>
      <c r="B119" s="22" t="s">
        <v>54</v>
      </c>
      <c r="C119" s="22" t="s">
        <v>144</v>
      </c>
      <c r="D119" s="22" t="s">
        <v>86</v>
      </c>
      <c r="E119" s="23">
        <v>20</v>
      </c>
      <c r="F119" s="22" t="s">
        <v>87</v>
      </c>
      <c r="G119" s="26">
        <v>3</v>
      </c>
    </row>
    <row r="120" spans="1:7">
      <c r="A120" s="21">
        <v>46038</v>
      </c>
      <c r="B120" s="22" t="s">
        <v>54</v>
      </c>
      <c r="C120" s="22" t="s">
        <v>145</v>
      </c>
      <c r="D120" s="22" t="s">
        <v>35</v>
      </c>
      <c r="E120" s="23">
        <v>20</v>
      </c>
      <c r="F120" s="22" t="s">
        <v>87</v>
      </c>
      <c r="G120" s="26">
        <v>3</v>
      </c>
    </row>
    <row r="121" spans="1:7">
      <c r="A121" s="17">
        <v>46038</v>
      </c>
      <c r="B121" s="18" t="s">
        <v>54</v>
      </c>
      <c r="C121" s="18" t="s">
        <v>146</v>
      </c>
      <c r="D121" s="18" t="s">
        <v>35</v>
      </c>
      <c r="E121" s="19">
        <v>60</v>
      </c>
      <c r="F121" s="18" t="s">
        <v>87</v>
      </c>
      <c r="G121" s="26">
        <v>3</v>
      </c>
    </row>
    <row r="122" spans="1:7">
      <c r="A122" s="21">
        <v>46038</v>
      </c>
      <c r="B122" s="22" t="s">
        <v>54</v>
      </c>
      <c r="C122" s="22" t="s">
        <v>35</v>
      </c>
      <c r="D122" s="22" t="s">
        <v>35</v>
      </c>
      <c r="E122" s="23">
        <v>100</v>
      </c>
      <c r="F122" s="22" t="s">
        <v>87</v>
      </c>
      <c r="G122" s="26">
        <v>3</v>
      </c>
    </row>
    <row r="123" spans="1:7">
      <c r="A123" s="17">
        <v>46038</v>
      </c>
      <c r="B123" s="18" t="s">
        <v>54</v>
      </c>
      <c r="C123" s="18" t="s">
        <v>147</v>
      </c>
      <c r="D123" s="18" t="s">
        <v>35</v>
      </c>
      <c r="E123" s="19">
        <v>170</v>
      </c>
      <c r="F123" s="18" t="s">
        <v>87</v>
      </c>
      <c r="G123" s="26">
        <v>3</v>
      </c>
    </row>
    <row r="124" spans="1:7">
      <c r="A124" s="21">
        <v>46038</v>
      </c>
      <c r="B124" s="22" t="s">
        <v>54</v>
      </c>
      <c r="C124" s="22" t="s">
        <v>148</v>
      </c>
      <c r="D124" s="22" t="s">
        <v>35</v>
      </c>
      <c r="E124" s="23">
        <v>75</v>
      </c>
      <c r="F124" s="22" t="s">
        <v>87</v>
      </c>
      <c r="G124" s="26">
        <v>3</v>
      </c>
    </row>
    <row r="125" spans="1:7">
      <c r="A125" s="17">
        <v>46038</v>
      </c>
      <c r="B125" s="18" t="s">
        <v>54</v>
      </c>
      <c r="C125" s="18" t="s">
        <v>126</v>
      </c>
      <c r="D125" s="18" t="s">
        <v>35</v>
      </c>
      <c r="E125" s="19">
        <v>15</v>
      </c>
      <c r="F125" s="18" t="s">
        <v>87</v>
      </c>
      <c r="G125" s="26">
        <v>3</v>
      </c>
    </row>
    <row r="126" spans="1:7">
      <c r="A126" s="21">
        <v>46038</v>
      </c>
      <c r="B126" s="22" t="s">
        <v>54</v>
      </c>
      <c r="C126" s="22" t="s">
        <v>149</v>
      </c>
      <c r="D126" s="22" t="s">
        <v>93</v>
      </c>
      <c r="E126" s="23">
        <v>80</v>
      </c>
      <c r="F126" s="22" t="s">
        <v>87</v>
      </c>
      <c r="G126" s="26">
        <v>3</v>
      </c>
    </row>
    <row r="127" spans="1:7">
      <c r="A127" s="17">
        <v>46038</v>
      </c>
      <c r="B127" s="18" t="s">
        <v>54</v>
      </c>
      <c r="C127" s="18" t="s">
        <v>35</v>
      </c>
      <c r="D127" s="18" t="s">
        <v>35</v>
      </c>
      <c r="E127" s="19">
        <v>120</v>
      </c>
      <c r="F127" s="18" t="s">
        <v>87</v>
      </c>
      <c r="G127" s="26">
        <v>3</v>
      </c>
    </row>
    <row r="128" spans="1:7">
      <c r="A128" s="21">
        <v>46038</v>
      </c>
      <c r="B128" s="22" t="s">
        <v>54</v>
      </c>
      <c r="C128" s="22" t="s">
        <v>150</v>
      </c>
      <c r="D128" s="22" t="s">
        <v>124</v>
      </c>
      <c r="E128" s="23">
        <v>200</v>
      </c>
      <c r="F128" s="22" t="s">
        <v>87</v>
      </c>
      <c r="G128" s="26">
        <v>3</v>
      </c>
    </row>
    <row r="129" spans="1:7">
      <c r="A129" s="17">
        <v>46038</v>
      </c>
      <c r="B129" s="18" t="s">
        <v>54</v>
      </c>
      <c r="C129" s="18" t="s">
        <v>151</v>
      </c>
      <c r="D129" s="18" t="s">
        <v>105</v>
      </c>
      <c r="E129" s="19">
        <v>140</v>
      </c>
      <c r="F129" s="18" t="s">
        <v>87</v>
      </c>
      <c r="G129" s="26">
        <v>3</v>
      </c>
    </row>
    <row r="130" spans="1:7">
      <c r="A130" s="21">
        <v>46038</v>
      </c>
      <c r="B130" s="22" t="s">
        <v>54</v>
      </c>
      <c r="C130" s="22" t="s">
        <v>35</v>
      </c>
      <c r="D130" s="22" t="s">
        <v>35</v>
      </c>
      <c r="E130" s="23">
        <v>20</v>
      </c>
      <c r="F130" s="22" t="s">
        <v>87</v>
      </c>
      <c r="G130" s="26">
        <v>3</v>
      </c>
    </row>
    <row r="131" spans="1:7">
      <c r="A131" s="17">
        <v>46038</v>
      </c>
      <c r="B131" s="18" t="s">
        <v>54</v>
      </c>
      <c r="C131" s="18" t="s">
        <v>93</v>
      </c>
      <c r="D131" s="18" t="s">
        <v>93</v>
      </c>
      <c r="E131" s="19">
        <v>50</v>
      </c>
      <c r="F131" s="18" t="s">
        <v>87</v>
      </c>
      <c r="G131" s="26">
        <v>3</v>
      </c>
    </row>
    <row r="132" spans="1:7">
      <c r="A132" s="21">
        <v>46038</v>
      </c>
      <c r="B132" s="22" t="s">
        <v>54</v>
      </c>
      <c r="C132" s="22" t="s">
        <v>35</v>
      </c>
      <c r="D132" s="22" t="s">
        <v>35</v>
      </c>
      <c r="E132" s="23">
        <v>40</v>
      </c>
      <c r="F132" s="22" t="s">
        <v>87</v>
      </c>
      <c r="G132" s="26">
        <v>3</v>
      </c>
    </row>
    <row r="133" spans="1:7">
      <c r="A133" s="21">
        <v>46039</v>
      </c>
      <c r="B133" s="22" t="s">
        <v>58</v>
      </c>
      <c r="C133" s="22" t="s">
        <v>152</v>
      </c>
      <c r="D133" s="22" t="s">
        <v>35</v>
      </c>
      <c r="E133" s="23">
        <v>140</v>
      </c>
      <c r="F133" s="22" t="s">
        <v>87</v>
      </c>
      <c r="G133" s="26">
        <v>3</v>
      </c>
    </row>
    <row r="134" spans="1:7">
      <c r="A134" s="17">
        <v>46039</v>
      </c>
      <c r="B134" s="18" t="s">
        <v>58</v>
      </c>
      <c r="C134" s="18" t="s">
        <v>153</v>
      </c>
      <c r="D134" s="18" t="s">
        <v>35</v>
      </c>
      <c r="E134" s="19">
        <v>10</v>
      </c>
      <c r="F134" s="18" t="s">
        <v>87</v>
      </c>
      <c r="G134" s="26">
        <v>3</v>
      </c>
    </row>
    <row r="135" spans="1:7">
      <c r="A135" s="21">
        <v>46039</v>
      </c>
      <c r="B135" s="22" t="s">
        <v>58</v>
      </c>
      <c r="C135" s="22" t="s">
        <v>154</v>
      </c>
      <c r="D135" s="22" t="s">
        <v>48</v>
      </c>
      <c r="E135" s="23">
        <v>260</v>
      </c>
      <c r="F135" s="22" t="s">
        <v>87</v>
      </c>
      <c r="G135" s="26">
        <v>3</v>
      </c>
    </row>
    <row r="136" spans="1:7">
      <c r="A136" s="17">
        <v>46039</v>
      </c>
      <c r="B136" s="18" t="s">
        <v>58</v>
      </c>
      <c r="C136" s="18" t="s">
        <v>155</v>
      </c>
      <c r="D136" s="18" t="s">
        <v>35</v>
      </c>
      <c r="E136" s="19">
        <v>5</v>
      </c>
      <c r="F136" s="18" t="s">
        <v>87</v>
      </c>
      <c r="G136" s="26">
        <v>3</v>
      </c>
    </row>
    <row r="137" spans="1:7">
      <c r="A137" s="21">
        <v>46039</v>
      </c>
      <c r="B137" s="22" t="s">
        <v>58</v>
      </c>
      <c r="C137" s="22" t="s">
        <v>153</v>
      </c>
      <c r="D137" s="22" t="s">
        <v>35</v>
      </c>
      <c r="E137" s="23">
        <v>20</v>
      </c>
      <c r="F137" s="22" t="s">
        <v>87</v>
      </c>
      <c r="G137" s="26">
        <v>3</v>
      </c>
    </row>
    <row r="138" spans="1:7">
      <c r="A138" s="17">
        <v>46039</v>
      </c>
      <c r="B138" s="18" t="s">
        <v>58</v>
      </c>
      <c r="C138" s="18" t="s">
        <v>156</v>
      </c>
      <c r="D138" s="18" t="s">
        <v>99</v>
      </c>
      <c r="E138" s="19">
        <v>110</v>
      </c>
      <c r="F138" s="18" t="s">
        <v>87</v>
      </c>
      <c r="G138" s="26">
        <v>3</v>
      </c>
    </row>
    <row r="139" spans="1:7">
      <c r="A139" s="21">
        <v>46039</v>
      </c>
      <c r="B139" s="22" t="s">
        <v>58</v>
      </c>
      <c r="C139" s="22" t="s">
        <v>157</v>
      </c>
      <c r="D139" s="22" t="s">
        <v>35</v>
      </c>
      <c r="E139" s="23">
        <v>20</v>
      </c>
      <c r="F139" s="22" t="s">
        <v>87</v>
      </c>
      <c r="G139" s="26">
        <v>3</v>
      </c>
    </row>
    <row r="140" spans="1:7">
      <c r="A140" s="17">
        <v>46039</v>
      </c>
      <c r="B140" s="18" t="s">
        <v>58</v>
      </c>
      <c r="C140" s="18" t="s">
        <v>153</v>
      </c>
      <c r="D140" s="18" t="s">
        <v>35</v>
      </c>
      <c r="E140" s="19">
        <v>10</v>
      </c>
      <c r="F140" s="18" t="s">
        <v>87</v>
      </c>
      <c r="G140" s="26">
        <v>3</v>
      </c>
    </row>
    <row r="141" spans="1:7">
      <c r="A141" s="17">
        <v>46039</v>
      </c>
      <c r="B141" s="18" t="s">
        <v>58</v>
      </c>
      <c r="C141" s="18" t="s">
        <v>71</v>
      </c>
      <c r="D141" s="18" t="s">
        <v>71</v>
      </c>
      <c r="E141" s="19">
        <v>1155</v>
      </c>
      <c r="F141" s="18" t="s">
        <v>87</v>
      </c>
      <c r="G141" s="26">
        <v>3</v>
      </c>
    </row>
    <row r="142" spans="1:7">
      <c r="A142" s="21">
        <v>46039</v>
      </c>
      <c r="B142" s="22" t="s">
        <v>58</v>
      </c>
      <c r="C142" s="22" t="s">
        <v>35</v>
      </c>
      <c r="D142" s="22" t="s">
        <v>35</v>
      </c>
      <c r="E142" s="23">
        <v>20</v>
      </c>
      <c r="F142" s="22" t="s">
        <v>87</v>
      </c>
      <c r="G142" s="26">
        <v>3</v>
      </c>
    </row>
    <row r="143" spans="1:7">
      <c r="A143" s="17">
        <v>46039</v>
      </c>
      <c r="B143" s="18" t="s">
        <v>58</v>
      </c>
      <c r="C143" s="18" t="s">
        <v>158</v>
      </c>
      <c r="D143" s="18" t="s">
        <v>86</v>
      </c>
      <c r="E143" s="19">
        <v>20</v>
      </c>
      <c r="F143" s="18" t="s">
        <v>87</v>
      </c>
      <c r="G143" s="26">
        <v>3</v>
      </c>
    </row>
    <row r="144" spans="1:7">
      <c r="A144" s="17">
        <v>46039</v>
      </c>
      <c r="B144" s="18" t="s">
        <v>58</v>
      </c>
      <c r="C144" s="18" t="s">
        <v>153</v>
      </c>
      <c r="D144" s="18" t="s">
        <v>35</v>
      </c>
      <c r="E144" s="19">
        <v>20</v>
      </c>
      <c r="F144" s="18" t="s">
        <v>87</v>
      </c>
      <c r="G144" s="26">
        <v>3</v>
      </c>
    </row>
    <row r="145" spans="1:7">
      <c r="A145" s="21">
        <v>46039</v>
      </c>
      <c r="B145" s="22" t="s">
        <v>58</v>
      </c>
      <c r="C145" s="22" t="s">
        <v>159</v>
      </c>
      <c r="D145" s="22" t="s">
        <v>105</v>
      </c>
      <c r="E145" s="23">
        <v>300</v>
      </c>
      <c r="F145" s="22" t="s">
        <v>87</v>
      </c>
      <c r="G145" s="26">
        <v>3</v>
      </c>
    </row>
    <row r="146" spans="1:7">
      <c r="A146" s="17">
        <v>46039</v>
      </c>
      <c r="B146" s="18" t="s">
        <v>58</v>
      </c>
      <c r="C146" s="18" t="s">
        <v>160</v>
      </c>
      <c r="D146" s="18" t="s">
        <v>105</v>
      </c>
      <c r="E146" s="19">
        <v>10</v>
      </c>
      <c r="F146" s="18" t="s">
        <v>87</v>
      </c>
      <c r="G146" s="26">
        <v>3</v>
      </c>
    </row>
    <row r="147" spans="1:7">
      <c r="A147" s="21">
        <v>46039</v>
      </c>
      <c r="B147" s="22" t="s">
        <v>58</v>
      </c>
      <c r="C147" s="22" t="s">
        <v>161</v>
      </c>
      <c r="D147" s="22" t="s">
        <v>35</v>
      </c>
      <c r="E147" s="23">
        <v>1380</v>
      </c>
      <c r="F147" s="22" t="s">
        <v>87</v>
      </c>
      <c r="G147" s="26">
        <v>3</v>
      </c>
    </row>
    <row r="148" spans="1:7">
      <c r="A148" s="17">
        <v>46039</v>
      </c>
      <c r="B148" s="18" t="s">
        <v>58</v>
      </c>
      <c r="C148" s="18" t="s">
        <v>162</v>
      </c>
      <c r="D148" s="18" t="s">
        <v>35</v>
      </c>
      <c r="E148" s="19">
        <v>10</v>
      </c>
      <c r="F148" s="18" t="s">
        <v>87</v>
      </c>
      <c r="G148" s="26">
        <v>3</v>
      </c>
    </row>
    <row r="149" spans="1:7">
      <c r="A149" s="21">
        <v>46039</v>
      </c>
      <c r="B149" s="22" t="s">
        <v>58</v>
      </c>
      <c r="C149" s="22" t="s">
        <v>35</v>
      </c>
      <c r="D149" s="22" t="s">
        <v>35</v>
      </c>
      <c r="E149" s="23">
        <v>80</v>
      </c>
      <c r="F149" s="22" t="s">
        <v>87</v>
      </c>
      <c r="G149" s="26">
        <v>3</v>
      </c>
    </row>
    <row r="150" spans="1:7">
      <c r="A150" s="17">
        <v>46039</v>
      </c>
      <c r="B150" s="18" t="s">
        <v>58</v>
      </c>
      <c r="C150" s="18" t="s">
        <v>35</v>
      </c>
      <c r="D150" s="18" t="s">
        <v>35</v>
      </c>
      <c r="E150" s="19">
        <v>70</v>
      </c>
      <c r="F150" s="18" t="s">
        <v>87</v>
      </c>
      <c r="G150" s="26">
        <v>3</v>
      </c>
    </row>
    <row r="151" spans="1:7">
      <c r="A151" s="21">
        <v>46039</v>
      </c>
      <c r="B151" s="22" t="s">
        <v>58</v>
      </c>
      <c r="C151" s="22" t="s">
        <v>121</v>
      </c>
      <c r="D151" s="22" t="s">
        <v>86</v>
      </c>
      <c r="E151" s="23">
        <v>5</v>
      </c>
      <c r="F151" s="22" t="s">
        <v>87</v>
      </c>
      <c r="G151" s="26">
        <v>3</v>
      </c>
    </row>
    <row r="152" spans="1:7">
      <c r="A152" s="17">
        <v>46039</v>
      </c>
      <c r="B152" s="18" t="s">
        <v>58</v>
      </c>
      <c r="C152" s="18" t="s">
        <v>93</v>
      </c>
      <c r="D152" s="18" t="s">
        <v>93</v>
      </c>
      <c r="E152" s="19">
        <v>50</v>
      </c>
      <c r="F152" s="18" t="s">
        <v>87</v>
      </c>
      <c r="G152" s="26">
        <v>3</v>
      </c>
    </row>
    <row r="153" spans="1:7">
      <c r="A153" s="21">
        <v>46039</v>
      </c>
      <c r="B153" s="22" t="s">
        <v>58</v>
      </c>
      <c r="C153" s="22" t="s">
        <v>163</v>
      </c>
      <c r="D153" s="22" t="s">
        <v>105</v>
      </c>
      <c r="E153" s="23">
        <v>110</v>
      </c>
      <c r="F153" s="22" t="s">
        <v>87</v>
      </c>
      <c r="G153" s="26">
        <v>3</v>
      </c>
    </row>
    <row r="154" spans="1:7">
      <c r="A154" s="17">
        <v>46039</v>
      </c>
      <c r="B154" s="18" t="s">
        <v>58</v>
      </c>
      <c r="C154" s="18" t="s">
        <v>94</v>
      </c>
      <c r="D154" s="18" t="s">
        <v>95</v>
      </c>
      <c r="E154" s="19">
        <v>250</v>
      </c>
      <c r="F154" s="18" t="s">
        <v>87</v>
      </c>
      <c r="G154" s="26">
        <v>3</v>
      </c>
    </row>
    <row r="155" spans="1:7">
      <c r="A155" s="17">
        <v>46039</v>
      </c>
      <c r="B155" s="18" t="s">
        <v>58</v>
      </c>
      <c r="C155" s="18" t="s">
        <v>35</v>
      </c>
      <c r="D155" s="18" t="s">
        <v>35</v>
      </c>
      <c r="E155" s="19">
        <v>20</v>
      </c>
      <c r="F155" s="18" t="s">
        <v>87</v>
      </c>
      <c r="G155" s="26">
        <v>3</v>
      </c>
    </row>
    <row r="156" spans="1:7">
      <c r="A156" s="21">
        <v>46039</v>
      </c>
      <c r="B156" s="22" t="s">
        <v>58</v>
      </c>
      <c r="C156" s="22" t="s">
        <v>164</v>
      </c>
      <c r="D156" s="22" t="s">
        <v>35</v>
      </c>
      <c r="E156" s="23">
        <v>90</v>
      </c>
      <c r="F156" s="22" t="s">
        <v>87</v>
      </c>
      <c r="G156" s="26">
        <v>3</v>
      </c>
    </row>
    <row r="157" spans="1:7">
      <c r="A157" s="17">
        <v>46039</v>
      </c>
      <c r="B157" s="18" t="s">
        <v>58</v>
      </c>
      <c r="C157" s="18" t="s">
        <v>35</v>
      </c>
      <c r="D157" s="18" t="s">
        <v>35</v>
      </c>
      <c r="E157" s="19">
        <v>25</v>
      </c>
      <c r="F157" s="18" t="s">
        <v>87</v>
      </c>
      <c r="G157" s="26">
        <v>3</v>
      </c>
    </row>
    <row r="158" spans="1:7">
      <c r="A158" s="21">
        <v>46039</v>
      </c>
      <c r="B158" s="22" t="s">
        <v>58</v>
      </c>
      <c r="C158" s="22" t="s">
        <v>35</v>
      </c>
      <c r="D158" s="22" t="s">
        <v>35</v>
      </c>
      <c r="E158" s="23">
        <v>110</v>
      </c>
      <c r="F158" s="22" t="s">
        <v>87</v>
      </c>
      <c r="G158" s="26">
        <v>3</v>
      </c>
    </row>
    <row r="159" spans="1:7">
      <c r="A159" s="17">
        <v>46039</v>
      </c>
      <c r="B159" s="18" t="s">
        <v>58</v>
      </c>
      <c r="C159" s="18" t="s">
        <v>88</v>
      </c>
      <c r="D159" s="18" t="s">
        <v>86</v>
      </c>
      <c r="E159" s="19">
        <v>10</v>
      </c>
      <c r="F159" s="18" t="s">
        <v>87</v>
      </c>
      <c r="G159" s="26">
        <v>3</v>
      </c>
    </row>
    <row r="160" spans="1:7">
      <c r="A160" s="21">
        <v>46039</v>
      </c>
      <c r="B160" s="22" t="s">
        <v>58</v>
      </c>
      <c r="C160" s="22" t="s">
        <v>35</v>
      </c>
      <c r="D160" s="22" t="s">
        <v>35</v>
      </c>
      <c r="E160" s="23">
        <v>70</v>
      </c>
      <c r="F160" s="22" t="s">
        <v>87</v>
      </c>
      <c r="G160" s="26">
        <v>3</v>
      </c>
    </row>
    <row r="161" spans="1:7">
      <c r="A161" s="17">
        <v>46039</v>
      </c>
      <c r="B161" s="18" t="s">
        <v>58</v>
      </c>
      <c r="C161" s="18" t="s">
        <v>93</v>
      </c>
      <c r="D161" s="18" t="s">
        <v>93</v>
      </c>
      <c r="E161" s="19">
        <v>50</v>
      </c>
      <c r="F161" s="18" t="s">
        <v>87</v>
      </c>
      <c r="G161" s="26">
        <v>3</v>
      </c>
    </row>
    <row r="162" spans="1:7">
      <c r="A162" s="21">
        <v>46039</v>
      </c>
      <c r="B162" s="22" t="s">
        <v>58</v>
      </c>
      <c r="C162" s="22" t="s">
        <v>106</v>
      </c>
      <c r="D162" s="22" t="s">
        <v>107</v>
      </c>
      <c r="E162" s="23">
        <v>50</v>
      </c>
      <c r="F162" s="22" t="s">
        <v>87</v>
      </c>
      <c r="G162" s="26">
        <v>3</v>
      </c>
    </row>
    <row r="163" spans="1:7">
      <c r="A163" s="17">
        <v>46039</v>
      </c>
      <c r="B163" s="18" t="s">
        <v>58</v>
      </c>
      <c r="C163" s="18" t="s">
        <v>165</v>
      </c>
      <c r="D163" s="18" t="s">
        <v>105</v>
      </c>
      <c r="E163" s="19">
        <v>50</v>
      </c>
      <c r="F163" s="18" t="s">
        <v>87</v>
      </c>
      <c r="G163" s="26">
        <v>3</v>
      </c>
    </row>
    <row r="164" spans="1:7">
      <c r="A164" s="21">
        <v>46039</v>
      </c>
      <c r="B164" s="22" t="s">
        <v>58</v>
      </c>
      <c r="C164" s="22" t="s">
        <v>35</v>
      </c>
      <c r="D164" s="22" t="s">
        <v>35</v>
      </c>
      <c r="E164" s="23">
        <v>10</v>
      </c>
      <c r="F164" s="22" t="s">
        <v>87</v>
      </c>
      <c r="G164" s="26">
        <v>3</v>
      </c>
    </row>
    <row r="165" spans="1:7">
      <c r="A165" s="17">
        <v>46041</v>
      </c>
      <c r="B165" s="18" t="s">
        <v>37</v>
      </c>
      <c r="C165" s="18" t="s">
        <v>166</v>
      </c>
      <c r="D165" s="18" t="s">
        <v>99</v>
      </c>
      <c r="E165" s="19">
        <v>20</v>
      </c>
      <c r="F165" s="18" t="s">
        <v>87</v>
      </c>
      <c r="G165" s="26">
        <v>4</v>
      </c>
    </row>
    <row r="166" spans="1:7">
      <c r="A166" s="21">
        <v>46041</v>
      </c>
      <c r="B166" s="22" t="s">
        <v>37</v>
      </c>
      <c r="C166" s="22" t="s">
        <v>98</v>
      </c>
      <c r="D166" s="22" t="s">
        <v>99</v>
      </c>
      <c r="E166" s="23">
        <v>10</v>
      </c>
      <c r="F166" s="22" t="s">
        <v>87</v>
      </c>
      <c r="G166" s="26">
        <v>4</v>
      </c>
    </row>
    <row r="167" spans="1:7">
      <c r="A167" s="17">
        <v>46041</v>
      </c>
      <c r="B167" s="18" t="s">
        <v>37</v>
      </c>
      <c r="C167" s="18" t="s">
        <v>98</v>
      </c>
      <c r="D167" s="18" t="s">
        <v>99</v>
      </c>
      <c r="E167" s="19">
        <v>30</v>
      </c>
      <c r="F167" s="18" t="s">
        <v>87</v>
      </c>
      <c r="G167" s="26">
        <v>4</v>
      </c>
    </row>
    <row r="168" spans="1:7">
      <c r="A168" s="21">
        <v>46041</v>
      </c>
      <c r="B168" s="22" t="s">
        <v>37</v>
      </c>
      <c r="C168" s="22" t="s">
        <v>167</v>
      </c>
      <c r="D168" s="22" t="s">
        <v>35</v>
      </c>
      <c r="E168" s="23">
        <v>30</v>
      </c>
      <c r="F168" s="22" t="s">
        <v>87</v>
      </c>
      <c r="G168" s="26">
        <v>4</v>
      </c>
    </row>
    <row r="169" spans="1:7">
      <c r="A169" s="17">
        <v>46041</v>
      </c>
      <c r="B169" s="18" t="s">
        <v>37</v>
      </c>
      <c r="C169" s="18" t="s">
        <v>121</v>
      </c>
      <c r="D169" s="18" t="s">
        <v>86</v>
      </c>
      <c r="E169" s="19">
        <v>5</v>
      </c>
      <c r="F169" s="18" t="s">
        <v>87</v>
      </c>
      <c r="G169" s="26">
        <v>4</v>
      </c>
    </row>
    <row r="170" spans="1:7">
      <c r="A170" s="17">
        <v>46041</v>
      </c>
      <c r="B170" s="18" t="s">
        <v>37</v>
      </c>
      <c r="C170" s="18" t="s">
        <v>35</v>
      </c>
      <c r="D170" s="18" t="s">
        <v>35</v>
      </c>
      <c r="E170" s="19">
        <v>20</v>
      </c>
      <c r="F170" s="18" t="s">
        <v>87</v>
      </c>
      <c r="G170" s="26">
        <v>4</v>
      </c>
    </row>
    <row r="171" spans="1:7">
      <c r="A171" s="21">
        <v>46041</v>
      </c>
      <c r="B171" s="22" t="s">
        <v>37</v>
      </c>
      <c r="C171" s="22" t="s">
        <v>168</v>
      </c>
      <c r="D171" s="22" t="s">
        <v>107</v>
      </c>
      <c r="E171" s="23">
        <v>100</v>
      </c>
      <c r="F171" s="22" t="s">
        <v>87</v>
      </c>
      <c r="G171" s="26">
        <v>4</v>
      </c>
    </row>
    <row r="172" spans="1:7">
      <c r="A172" s="17">
        <v>46041</v>
      </c>
      <c r="B172" s="18" t="s">
        <v>37</v>
      </c>
      <c r="C172" s="18" t="s">
        <v>169</v>
      </c>
      <c r="D172" s="18" t="s">
        <v>105</v>
      </c>
      <c r="E172" s="19">
        <v>20</v>
      </c>
      <c r="F172" s="18" t="s">
        <v>87</v>
      </c>
      <c r="G172" s="26">
        <v>4</v>
      </c>
    </row>
    <row r="173" spans="1:7">
      <c r="A173" s="21">
        <v>46041</v>
      </c>
      <c r="B173" s="22" t="s">
        <v>37</v>
      </c>
      <c r="C173" s="22" t="s">
        <v>93</v>
      </c>
      <c r="D173" s="22" t="s">
        <v>93</v>
      </c>
      <c r="E173" s="23">
        <v>50</v>
      </c>
      <c r="F173" s="22" t="s">
        <v>87</v>
      </c>
      <c r="G173" s="26">
        <v>4</v>
      </c>
    </row>
    <row r="174" spans="1:7">
      <c r="A174" s="17">
        <v>46041</v>
      </c>
      <c r="B174" s="18" t="s">
        <v>37</v>
      </c>
      <c r="C174" s="18" t="s">
        <v>35</v>
      </c>
      <c r="D174" s="18" t="s">
        <v>35</v>
      </c>
      <c r="E174" s="19">
        <v>50</v>
      </c>
      <c r="F174" s="18" t="s">
        <v>87</v>
      </c>
      <c r="G174" s="26">
        <v>4</v>
      </c>
    </row>
    <row r="175" spans="1:7">
      <c r="A175" s="21">
        <v>46041</v>
      </c>
      <c r="B175" s="22" t="s">
        <v>37</v>
      </c>
      <c r="C175" s="22" t="s">
        <v>170</v>
      </c>
      <c r="D175" s="22" t="s">
        <v>35</v>
      </c>
      <c r="E175" s="23">
        <v>50</v>
      </c>
      <c r="F175" s="22" t="s">
        <v>87</v>
      </c>
      <c r="G175" s="26">
        <v>4</v>
      </c>
    </row>
    <row r="176" spans="1:7">
      <c r="A176" s="21">
        <v>46041</v>
      </c>
      <c r="B176" s="22" t="s">
        <v>37</v>
      </c>
      <c r="C176" s="22" t="s">
        <v>35</v>
      </c>
      <c r="D176" s="22" t="s">
        <v>35</v>
      </c>
      <c r="E176" s="23">
        <v>30</v>
      </c>
      <c r="F176" s="22" t="s">
        <v>87</v>
      </c>
      <c r="G176" s="26">
        <v>4</v>
      </c>
    </row>
    <row r="177" spans="1:7">
      <c r="A177" s="17">
        <v>46041</v>
      </c>
      <c r="B177" s="18" t="s">
        <v>37</v>
      </c>
      <c r="C177" s="18" t="s">
        <v>93</v>
      </c>
      <c r="D177" s="18" t="s">
        <v>93</v>
      </c>
      <c r="E177" s="19">
        <v>50</v>
      </c>
      <c r="F177" s="18" t="s">
        <v>87</v>
      </c>
      <c r="G177" s="26">
        <v>4</v>
      </c>
    </row>
    <row r="178" spans="1:7">
      <c r="A178" s="21">
        <v>46041</v>
      </c>
      <c r="B178" s="22" t="s">
        <v>37</v>
      </c>
      <c r="C178" s="22" t="s">
        <v>35</v>
      </c>
      <c r="D178" s="22" t="s">
        <v>35</v>
      </c>
      <c r="E178" s="23">
        <v>10</v>
      </c>
      <c r="F178" s="22" t="s">
        <v>87</v>
      </c>
      <c r="G178" s="26">
        <v>4</v>
      </c>
    </row>
    <row r="179" spans="1:7">
      <c r="A179" s="17">
        <v>46041</v>
      </c>
      <c r="B179" s="18" t="s">
        <v>37</v>
      </c>
      <c r="C179" s="18" t="s">
        <v>171</v>
      </c>
      <c r="D179" s="18" t="s">
        <v>86</v>
      </c>
      <c r="E179" s="19">
        <v>80</v>
      </c>
      <c r="F179" s="18" t="s">
        <v>87</v>
      </c>
      <c r="G179" s="26">
        <v>4</v>
      </c>
    </row>
    <row r="180" spans="1:7">
      <c r="A180" s="21">
        <v>46041</v>
      </c>
      <c r="B180" s="22" t="s">
        <v>37</v>
      </c>
      <c r="C180" s="22" t="s">
        <v>93</v>
      </c>
      <c r="D180" s="22" t="s">
        <v>93</v>
      </c>
      <c r="E180" s="23">
        <v>50</v>
      </c>
      <c r="F180" s="22" t="s">
        <v>87</v>
      </c>
      <c r="G180" s="26">
        <v>4</v>
      </c>
    </row>
    <row r="181" spans="1:7">
      <c r="A181" s="17">
        <v>46041</v>
      </c>
      <c r="B181" s="18" t="s">
        <v>37</v>
      </c>
      <c r="C181" s="18" t="s">
        <v>126</v>
      </c>
      <c r="D181" s="18" t="s">
        <v>35</v>
      </c>
      <c r="E181" s="19">
        <v>30</v>
      </c>
      <c r="F181" s="18" t="s">
        <v>87</v>
      </c>
      <c r="G181" s="26">
        <v>4</v>
      </c>
    </row>
    <row r="182" spans="1:7">
      <c r="A182" s="21">
        <v>46041</v>
      </c>
      <c r="B182" s="22" t="s">
        <v>37</v>
      </c>
      <c r="C182" s="22" t="s">
        <v>88</v>
      </c>
      <c r="D182" s="22" t="s">
        <v>86</v>
      </c>
      <c r="E182" s="23">
        <v>10</v>
      </c>
      <c r="F182" s="22" t="s">
        <v>87</v>
      </c>
      <c r="G182" s="26">
        <v>4</v>
      </c>
    </row>
    <row r="183" spans="1:7">
      <c r="A183" s="17">
        <v>46041</v>
      </c>
      <c r="B183" s="18" t="s">
        <v>37</v>
      </c>
      <c r="C183" s="18" t="s">
        <v>121</v>
      </c>
      <c r="D183" s="18" t="s">
        <v>86</v>
      </c>
      <c r="E183" s="19">
        <v>5</v>
      </c>
      <c r="F183" s="18" t="s">
        <v>87</v>
      </c>
      <c r="G183" s="26">
        <v>4</v>
      </c>
    </row>
    <row r="184" spans="1:7">
      <c r="A184" s="21">
        <v>46041</v>
      </c>
      <c r="B184" s="22" t="s">
        <v>37</v>
      </c>
      <c r="C184" s="22" t="s">
        <v>93</v>
      </c>
      <c r="D184" s="22" t="s">
        <v>93</v>
      </c>
      <c r="E184" s="23">
        <v>50</v>
      </c>
      <c r="F184" s="22" t="s">
        <v>87</v>
      </c>
      <c r="G184" s="26">
        <v>4</v>
      </c>
    </row>
    <row r="185" spans="1:7">
      <c r="A185" s="17">
        <v>46041</v>
      </c>
      <c r="B185" s="18" t="s">
        <v>37</v>
      </c>
      <c r="C185" s="18" t="s">
        <v>172</v>
      </c>
      <c r="D185" s="18" t="s">
        <v>35</v>
      </c>
      <c r="E185" s="19">
        <v>90</v>
      </c>
      <c r="F185" s="18" t="s">
        <v>87</v>
      </c>
      <c r="G185" s="26">
        <v>4</v>
      </c>
    </row>
    <row r="186" spans="1:7">
      <c r="A186" s="21">
        <v>46041</v>
      </c>
      <c r="B186" s="22" t="s">
        <v>37</v>
      </c>
      <c r="C186" s="22" t="s">
        <v>93</v>
      </c>
      <c r="D186" s="22" t="s">
        <v>93</v>
      </c>
      <c r="E186" s="23">
        <v>50</v>
      </c>
      <c r="F186" s="22" t="s">
        <v>87</v>
      </c>
      <c r="G186" s="26">
        <v>4</v>
      </c>
    </row>
    <row r="187" spans="1:7">
      <c r="A187" s="21">
        <v>46041</v>
      </c>
      <c r="B187" s="22" t="s">
        <v>37</v>
      </c>
      <c r="C187" s="22" t="s">
        <v>88</v>
      </c>
      <c r="D187" s="22" t="s">
        <v>86</v>
      </c>
      <c r="E187" s="23">
        <v>20</v>
      </c>
      <c r="F187" s="22" t="s">
        <v>87</v>
      </c>
      <c r="G187" s="26">
        <v>4</v>
      </c>
    </row>
    <row r="188" spans="1:7">
      <c r="A188" s="21">
        <v>46041</v>
      </c>
      <c r="B188" s="22" t="s">
        <v>37</v>
      </c>
      <c r="C188" s="22" t="s">
        <v>158</v>
      </c>
      <c r="D188" s="22" t="s">
        <v>86</v>
      </c>
      <c r="E188" s="23">
        <v>30</v>
      </c>
      <c r="F188" s="22" t="s">
        <v>87</v>
      </c>
      <c r="G188" s="26">
        <v>4</v>
      </c>
    </row>
    <row r="189" spans="1:7">
      <c r="A189" s="17">
        <v>46041</v>
      </c>
      <c r="B189" s="18" t="s">
        <v>37</v>
      </c>
      <c r="C189" s="18" t="s">
        <v>121</v>
      </c>
      <c r="D189" s="18" t="s">
        <v>86</v>
      </c>
      <c r="E189" s="19">
        <v>10</v>
      </c>
      <c r="F189" s="18" t="s">
        <v>87</v>
      </c>
      <c r="G189" s="26">
        <v>4</v>
      </c>
    </row>
    <row r="190" spans="1:7">
      <c r="A190" s="21">
        <v>46041</v>
      </c>
      <c r="B190" s="22" t="s">
        <v>37</v>
      </c>
      <c r="C190" s="22" t="s">
        <v>172</v>
      </c>
      <c r="D190" s="22" t="s">
        <v>35</v>
      </c>
      <c r="E190" s="23">
        <v>150</v>
      </c>
      <c r="F190" s="22" t="s">
        <v>87</v>
      </c>
      <c r="G190" s="26">
        <v>4</v>
      </c>
    </row>
    <row r="191" spans="1:7">
      <c r="A191" s="17">
        <v>46041</v>
      </c>
      <c r="B191" s="18" t="s">
        <v>37</v>
      </c>
      <c r="C191" s="18" t="s">
        <v>121</v>
      </c>
      <c r="D191" s="18" t="s">
        <v>86</v>
      </c>
      <c r="E191" s="19">
        <v>10</v>
      </c>
      <c r="F191" s="18" t="s">
        <v>87</v>
      </c>
      <c r="G191" s="26">
        <v>4</v>
      </c>
    </row>
    <row r="192" spans="1:7">
      <c r="A192" s="21">
        <v>46041</v>
      </c>
      <c r="B192" s="22" t="s">
        <v>37</v>
      </c>
      <c r="C192" s="22" t="s">
        <v>173</v>
      </c>
      <c r="D192" s="22" t="s">
        <v>35</v>
      </c>
      <c r="E192" s="23">
        <v>40</v>
      </c>
      <c r="F192" s="22" t="s">
        <v>87</v>
      </c>
      <c r="G192" s="26">
        <v>4</v>
      </c>
    </row>
    <row r="193" spans="1:7">
      <c r="A193" s="17">
        <v>46041</v>
      </c>
      <c r="B193" s="18" t="s">
        <v>37</v>
      </c>
      <c r="C193" s="18" t="s">
        <v>35</v>
      </c>
      <c r="D193" s="18" t="s">
        <v>35</v>
      </c>
      <c r="E193" s="19">
        <v>120</v>
      </c>
      <c r="F193" s="18" t="s">
        <v>87</v>
      </c>
      <c r="G193" s="26">
        <v>4</v>
      </c>
    </row>
    <row r="194" spans="1:7">
      <c r="A194" s="21">
        <v>46041</v>
      </c>
      <c r="B194" s="22" t="s">
        <v>37</v>
      </c>
      <c r="C194" s="22" t="s">
        <v>93</v>
      </c>
      <c r="D194" s="22" t="s">
        <v>93</v>
      </c>
      <c r="E194" s="23">
        <v>50</v>
      </c>
      <c r="F194" s="22" t="s">
        <v>87</v>
      </c>
      <c r="G194" s="26">
        <v>4</v>
      </c>
    </row>
    <row r="195" spans="1:7">
      <c r="A195" s="17">
        <v>46041</v>
      </c>
      <c r="B195" s="18" t="s">
        <v>37</v>
      </c>
      <c r="C195" s="18" t="s">
        <v>174</v>
      </c>
      <c r="D195" s="18" t="s">
        <v>105</v>
      </c>
      <c r="E195" s="19">
        <v>70</v>
      </c>
      <c r="F195" s="18" t="s">
        <v>87</v>
      </c>
      <c r="G195" s="26">
        <v>4</v>
      </c>
    </row>
    <row r="196" spans="1:7">
      <c r="A196" s="21">
        <v>46041</v>
      </c>
      <c r="B196" s="22" t="s">
        <v>37</v>
      </c>
      <c r="C196" s="22" t="s">
        <v>35</v>
      </c>
      <c r="D196" s="22" t="s">
        <v>35</v>
      </c>
      <c r="E196" s="23">
        <v>80</v>
      </c>
      <c r="F196" s="22" t="s">
        <v>87</v>
      </c>
      <c r="G196" s="26">
        <v>4</v>
      </c>
    </row>
    <row r="197" spans="1:7">
      <c r="A197" s="17">
        <v>46041</v>
      </c>
      <c r="B197" s="18" t="s">
        <v>37</v>
      </c>
      <c r="C197" s="18" t="s">
        <v>175</v>
      </c>
      <c r="D197" s="18" t="s">
        <v>105</v>
      </c>
      <c r="E197" s="19">
        <v>80</v>
      </c>
      <c r="F197" s="18" t="s">
        <v>87</v>
      </c>
      <c r="G197" s="26">
        <v>4</v>
      </c>
    </row>
    <row r="198" spans="1:7">
      <c r="A198" s="21">
        <v>46041</v>
      </c>
      <c r="B198" s="22" t="s">
        <v>37</v>
      </c>
      <c r="C198" s="22" t="s">
        <v>35</v>
      </c>
      <c r="D198" s="22" t="s">
        <v>35</v>
      </c>
      <c r="E198" s="23">
        <v>70</v>
      </c>
      <c r="F198" s="22" t="s">
        <v>87</v>
      </c>
      <c r="G198" s="26">
        <v>4</v>
      </c>
    </row>
    <row r="199" spans="1:7">
      <c r="A199" s="17">
        <v>46041</v>
      </c>
      <c r="B199" s="18" t="s">
        <v>37</v>
      </c>
      <c r="C199" s="18" t="s">
        <v>93</v>
      </c>
      <c r="D199" s="18" t="s">
        <v>93</v>
      </c>
      <c r="E199" s="19">
        <v>50</v>
      </c>
      <c r="F199" s="18" t="s">
        <v>87</v>
      </c>
      <c r="G199" s="26">
        <v>4</v>
      </c>
    </row>
    <row r="200" spans="1:7">
      <c r="A200" s="17">
        <v>46041</v>
      </c>
      <c r="B200" s="18" t="s">
        <v>37</v>
      </c>
      <c r="C200" s="18" t="s">
        <v>170</v>
      </c>
      <c r="D200" s="18" t="s">
        <v>35</v>
      </c>
      <c r="E200" s="19">
        <v>100</v>
      </c>
      <c r="F200" s="18" t="s">
        <v>87</v>
      </c>
      <c r="G200" s="26">
        <v>4</v>
      </c>
    </row>
    <row r="201" spans="1:7">
      <c r="A201" s="21">
        <v>46041</v>
      </c>
      <c r="B201" s="22" t="s">
        <v>37</v>
      </c>
      <c r="C201" s="22" t="s">
        <v>170</v>
      </c>
      <c r="D201" s="22" t="s">
        <v>35</v>
      </c>
      <c r="E201" s="23">
        <v>20</v>
      </c>
      <c r="F201" s="22" t="s">
        <v>87</v>
      </c>
      <c r="G201" s="26">
        <v>4</v>
      </c>
    </row>
    <row r="202" spans="1:7">
      <c r="A202" s="17">
        <v>46041</v>
      </c>
      <c r="B202" s="18" t="s">
        <v>37</v>
      </c>
      <c r="C202" s="18" t="s">
        <v>170</v>
      </c>
      <c r="D202" s="18" t="s">
        <v>35</v>
      </c>
      <c r="E202" s="19">
        <v>50</v>
      </c>
      <c r="F202" s="18" t="s">
        <v>87</v>
      </c>
      <c r="G202" s="26">
        <v>4</v>
      </c>
    </row>
    <row r="203" spans="1:7">
      <c r="A203" s="21">
        <v>46041</v>
      </c>
      <c r="B203" s="22" t="s">
        <v>37</v>
      </c>
      <c r="C203" s="22" t="s">
        <v>170</v>
      </c>
      <c r="D203" s="22" t="s">
        <v>35</v>
      </c>
      <c r="E203" s="23">
        <v>60</v>
      </c>
      <c r="F203" s="22" t="s">
        <v>87</v>
      </c>
      <c r="G203" s="26">
        <v>4</v>
      </c>
    </row>
    <row r="204" spans="1:7">
      <c r="A204" s="17">
        <v>46041</v>
      </c>
      <c r="B204" s="18" t="s">
        <v>37</v>
      </c>
      <c r="C204" s="18" t="s">
        <v>176</v>
      </c>
      <c r="D204" s="18" t="s">
        <v>99</v>
      </c>
      <c r="E204" s="19">
        <v>10</v>
      </c>
      <c r="F204" s="18" t="s">
        <v>87</v>
      </c>
      <c r="G204" s="26">
        <v>4</v>
      </c>
    </row>
    <row r="205" spans="1:7">
      <c r="A205" s="21">
        <v>46041</v>
      </c>
      <c r="B205" s="22" t="s">
        <v>37</v>
      </c>
      <c r="C205" s="22" t="s">
        <v>170</v>
      </c>
      <c r="D205" s="22" t="s">
        <v>35</v>
      </c>
      <c r="E205" s="23">
        <v>30</v>
      </c>
      <c r="F205" s="22" t="s">
        <v>87</v>
      </c>
      <c r="G205" s="26">
        <v>4</v>
      </c>
    </row>
    <row r="206" spans="1:7">
      <c r="A206" s="21">
        <v>46041</v>
      </c>
      <c r="B206" s="22" t="s">
        <v>37</v>
      </c>
      <c r="C206" s="22" t="s">
        <v>121</v>
      </c>
      <c r="D206" s="22" t="s">
        <v>86</v>
      </c>
      <c r="E206" s="23">
        <v>5</v>
      </c>
      <c r="F206" s="22" t="s">
        <v>87</v>
      </c>
      <c r="G206" s="26">
        <v>4</v>
      </c>
    </row>
    <row r="207" spans="1:7">
      <c r="A207" s="17">
        <v>46041</v>
      </c>
      <c r="B207" s="18" t="s">
        <v>37</v>
      </c>
      <c r="C207" s="18" t="s">
        <v>94</v>
      </c>
      <c r="D207" s="18" t="s">
        <v>95</v>
      </c>
      <c r="E207" s="19">
        <v>250</v>
      </c>
      <c r="F207" s="18" t="s">
        <v>87</v>
      </c>
      <c r="G207" s="26">
        <v>4</v>
      </c>
    </row>
    <row r="208" spans="1:7">
      <c r="A208" s="21">
        <v>46041</v>
      </c>
      <c r="B208" s="22" t="s">
        <v>37</v>
      </c>
      <c r="C208" s="22" t="s">
        <v>93</v>
      </c>
      <c r="D208" s="22" t="s">
        <v>93</v>
      </c>
      <c r="E208" s="23">
        <v>50</v>
      </c>
      <c r="F208" s="22" t="s">
        <v>87</v>
      </c>
      <c r="G208" s="26">
        <v>4</v>
      </c>
    </row>
    <row r="209" spans="1:7">
      <c r="A209" s="17">
        <v>46041</v>
      </c>
      <c r="B209" s="18" t="s">
        <v>37</v>
      </c>
      <c r="C209" s="18" t="s">
        <v>93</v>
      </c>
      <c r="D209" s="18" t="s">
        <v>93</v>
      </c>
      <c r="E209" s="19">
        <v>50</v>
      </c>
      <c r="F209" s="18" t="s">
        <v>87</v>
      </c>
      <c r="G209" s="26">
        <v>4</v>
      </c>
    </row>
    <row r="210" spans="1:7">
      <c r="A210" s="17">
        <v>46041</v>
      </c>
      <c r="B210" s="18" t="s">
        <v>37</v>
      </c>
      <c r="C210" s="18" t="s">
        <v>170</v>
      </c>
      <c r="D210" s="18" t="s">
        <v>35</v>
      </c>
      <c r="E210" s="19">
        <v>30</v>
      </c>
      <c r="F210" s="18" t="s">
        <v>87</v>
      </c>
      <c r="G210" s="26">
        <v>4</v>
      </c>
    </row>
    <row r="211" spans="1:7">
      <c r="A211" s="21">
        <v>46041</v>
      </c>
      <c r="B211" s="22" t="s">
        <v>37</v>
      </c>
      <c r="C211" s="22" t="s">
        <v>170</v>
      </c>
      <c r="D211" s="22" t="s">
        <v>35</v>
      </c>
      <c r="E211" s="23">
        <v>30</v>
      </c>
      <c r="F211" s="22" t="s">
        <v>87</v>
      </c>
      <c r="G211" s="26">
        <v>4</v>
      </c>
    </row>
    <row r="212" spans="1:7">
      <c r="A212" s="17">
        <v>46041</v>
      </c>
      <c r="B212" s="18" t="s">
        <v>37</v>
      </c>
      <c r="C212" s="18" t="s">
        <v>177</v>
      </c>
      <c r="D212" s="18" t="s">
        <v>35</v>
      </c>
      <c r="E212" s="19">
        <v>90</v>
      </c>
      <c r="F212" s="18" t="s">
        <v>87</v>
      </c>
      <c r="G212" s="26">
        <v>4</v>
      </c>
    </row>
    <row r="213" spans="1:7">
      <c r="A213" s="21">
        <v>46041</v>
      </c>
      <c r="B213" s="22" t="s">
        <v>37</v>
      </c>
      <c r="C213" s="22" t="s">
        <v>178</v>
      </c>
      <c r="D213" s="22" t="s">
        <v>179</v>
      </c>
      <c r="E213" s="23">
        <v>100</v>
      </c>
      <c r="F213" s="22" t="s">
        <v>87</v>
      </c>
      <c r="G213" s="26">
        <v>4</v>
      </c>
    </row>
    <row r="214" spans="1:7">
      <c r="A214" s="17">
        <v>46041</v>
      </c>
      <c r="B214" s="18" t="s">
        <v>37</v>
      </c>
      <c r="C214" s="18" t="s">
        <v>180</v>
      </c>
      <c r="D214" s="18" t="s">
        <v>35</v>
      </c>
      <c r="E214" s="19">
        <v>140</v>
      </c>
      <c r="F214" s="18" t="s">
        <v>87</v>
      </c>
      <c r="G214" s="26">
        <v>4</v>
      </c>
    </row>
    <row r="215" spans="1:7">
      <c r="A215" s="21">
        <v>46041</v>
      </c>
      <c r="B215" s="22" t="s">
        <v>37</v>
      </c>
      <c r="C215" s="22" t="s">
        <v>93</v>
      </c>
      <c r="D215" s="22" t="s">
        <v>93</v>
      </c>
      <c r="E215" s="23">
        <v>50</v>
      </c>
      <c r="F215" s="22" t="s">
        <v>87</v>
      </c>
      <c r="G215" s="26">
        <v>4</v>
      </c>
    </row>
    <row r="216" spans="1:7">
      <c r="A216" s="17">
        <v>46041</v>
      </c>
      <c r="B216" s="18" t="s">
        <v>37</v>
      </c>
      <c r="C216" s="18" t="s">
        <v>93</v>
      </c>
      <c r="D216" s="18" t="s">
        <v>93</v>
      </c>
      <c r="E216" s="19">
        <v>50</v>
      </c>
      <c r="F216" s="18" t="s">
        <v>87</v>
      </c>
      <c r="G216" s="26">
        <v>4</v>
      </c>
    </row>
    <row r="217" spans="1:7">
      <c r="A217" s="21">
        <v>46041</v>
      </c>
      <c r="B217" s="22" t="s">
        <v>37</v>
      </c>
      <c r="C217" s="22" t="s">
        <v>181</v>
      </c>
      <c r="D217" s="22" t="s">
        <v>35</v>
      </c>
      <c r="E217" s="23">
        <v>120</v>
      </c>
      <c r="F217" s="22" t="s">
        <v>87</v>
      </c>
      <c r="G217" s="26">
        <v>4</v>
      </c>
    </row>
    <row r="218" spans="1:7">
      <c r="A218" s="17">
        <v>46041</v>
      </c>
      <c r="B218" s="18" t="s">
        <v>37</v>
      </c>
      <c r="C218" s="18" t="s">
        <v>93</v>
      </c>
      <c r="D218" s="18" t="s">
        <v>93</v>
      </c>
      <c r="E218" s="19">
        <v>50</v>
      </c>
      <c r="F218" s="18" t="s">
        <v>87</v>
      </c>
      <c r="G218" s="26">
        <v>4</v>
      </c>
    </row>
    <row r="219" spans="1:7">
      <c r="A219" s="21">
        <v>46041</v>
      </c>
      <c r="B219" s="22" t="s">
        <v>37</v>
      </c>
      <c r="C219" s="22" t="s">
        <v>93</v>
      </c>
      <c r="D219" s="22" t="s">
        <v>93</v>
      </c>
      <c r="E219" s="23">
        <v>50</v>
      </c>
      <c r="F219" s="22" t="s">
        <v>87</v>
      </c>
      <c r="G219" s="26">
        <v>4</v>
      </c>
    </row>
    <row r="220" spans="1:7">
      <c r="A220" s="17">
        <v>46041</v>
      </c>
      <c r="B220" s="18" t="s">
        <v>37</v>
      </c>
      <c r="C220" s="18" t="s">
        <v>182</v>
      </c>
      <c r="D220" s="18" t="s">
        <v>35</v>
      </c>
      <c r="E220" s="19">
        <v>110</v>
      </c>
      <c r="F220" s="18" t="s">
        <v>87</v>
      </c>
      <c r="G220" s="26">
        <v>4</v>
      </c>
    </row>
    <row r="221" spans="1:7">
      <c r="A221" s="17">
        <v>46041</v>
      </c>
      <c r="B221" s="18" t="s">
        <v>37</v>
      </c>
      <c r="C221" s="18" t="s">
        <v>183</v>
      </c>
      <c r="D221" s="18" t="s">
        <v>86</v>
      </c>
      <c r="E221" s="19">
        <v>20</v>
      </c>
      <c r="F221" s="18" t="s">
        <v>87</v>
      </c>
      <c r="G221" s="26">
        <v>4</v>
      </c>
    </row>
    <row r="222" spans="1:7">
      <c r="A222" s="17">
        <v>46041</v>
      </c>
      <c r="B222" s="18" t="s">
        <v>37</v>
      </c>
      <c r="C222" s="18" t="s">
        <v>93</v>
      </c>
      <c r="D222" s="18" t="s">
        <v>93</v>
      </c>
      <c r="E222" s="19">
        <v>50</v>
      </c>
      <c r="F222" s="18" t="s">
        <v>87</v>
      </c>
      <c r="G222" s="26">
        <v>4</v>
      </c>
    </row>
    <row r="223" spans="1:7">
      <c r="A223" s="21">
        <v>46041</v>
      </c>
      <c r="B223" s="22" t="s">
        <v>37</v>
      </c>
      <c r="C223" s="22" t="s">
        <v>153</v>
      </c>
      <c r="D223" s="22" t="s">
        <v>35</v>
      </c>
      <c r="E223" s="23">
        <v>40</v>
      </c>
      <c r="F223" s="22" t="s">
        <v>87</v>
      </c>
      <c r="G223" s="26">
        <v>4</v>
      </c>
    </row>
    <row r="224" spans="1:7">
      <c r="A224" s="17">
        <v>46041</v>
      </c>
      <c r="B224" s="18" t="s">
        <v>37</v>
      </c>
      <c r="C224" s="18" t="s">
        <v>184</v>
      </c>
      <c r="D224" s="18" t="s">
        <v>93</v>
      </c>
      <c r="E224" s="19">
        <v>50</v>
      </c>
      <c r="F224" s="18" t="s">
        <v>87</v>
      </c>
      <c r="G224" s="26">
        <v>4</v>
      </c>
    </row>
    <row r="225" spans="1:7">
      <c r="A225" s="21">
        <v>46041</v>
      </c>
      <c r="B225" s="22" t="s">
        <v>37</v>
      </c>
      <c r="C225" s="22" t="s">
        <v>93</v>
      </c>
      <c r="D225" s="22" t="s">
        <v>93</v>
      </c>
      <c r="E225" s="23">
        <v>50</v>
      </c>
      <c r="F225" s="22" t="s">
        <v>87</v>
      </c>
      <c r="G225" s="26">
        <v>4</v>
      </c>
    </row>
    <row r="226" spans="1:7">
      <c r="A226" s="17">
        <v>46041</v>
      </c>
      <c r="B226" s="18" t="s">
        <v>37</v>
      </c>
      <c r="C226" s="18" t="s">
        <v>93</v>
      </c>
      <c r="D226" s="18" t="s">
        <v>93</v>
      </c>
      <c r="E226" s="19">
        <v>50</v>
      </c>
      <c r="F226" s="18" t="s">
        <v>87</v>
      </c>
      <c r="G226" s="26">
        <v>4</v>
      </c>
    </row>
    <row r="227" spans="1:7">
      <c r="A227" s="21">
        <v>46041</v>
      </c>
      <c r="B227" s="22" t="s">
        <v>37</v>
      </c>
      <c r="C227" s="22" t="s">
        <v>93</v>
      </c>
      <c r="D227" s="22" t="s">
        <v>93</v>
      </c>
      <c r="E227" s="23">
        <v>50</v>
      </c>
      <c r="F227" s="22" t="s">
        <v>87</v>
      </c>
      <c r="G227" s="26">
        <v>4</v>
      </c>
    </row>
    <row r="228" spans="1:7">
      <c r="A228" s="17">
        <v>46041</v>
      </c>
      <c r="B228" s="18" t="s">
        <v>37</v>
      </c>
      <c r="C228" s="18" t="s">
        <v>185</v>
      </c>
      <c r="D228" s="18" t="s">
        <v>124</v>
      </c>
      <c r="E228" s="19">
        <v>100</v>
      </c>
      <c r="F228" s="18" t="s">
        <v>87</v>
      </c>
      <c r="G228" s="26">
        <v>4</v>
      </c>
    </row>
    <row r="229" spans="1:7">
      <c r="A229" s="21">
        <v>46041</v>
      </c>
      <c r="B229" s="22" t="s">
        <v>37</v>
      </c>
      <c r="C229" s="22" t="s">
        <v>186</v>
      </c>
      <c r="D229" s="22" t="s">
        <v>95</v>
      </c>
      <c r="E229" s="23">
        <v>210</v>
      </c>
      <c r="F229" s="22" t="s">
        <v>87</v>
      </c>
      <c r="G229" s="26">
        <v>4</v>
      </c>
    </row>
    <row r="230" spans="1:7">
      <c r="A230" s="17">
        <v>46041</v>
      </c>
      <c r="B230" s="18" t="s">
        <v>37</v>
      </c>
      <c r="C230" s="18" t="s">
        <v>93</v>
      </c>
      <c r="D230" s="18" t="s">
        <v>93</v>
      </c>
      <c r="E230" s="19">
        <v>50</v>
      </c>
      <c r="F230" s="18" t="s">
        <v>87</v>
      </c>
      <c r="G230" s="26">
        <v>4</v>
      </c>
    </row>
    <row r="231" spans="1:7">
      <c r="A231" s="21">
        <v>46041</v>
      </c>
      <c r="B231" s="22" t="s">
        <v>37</v>
      </c>
      <c r="C231" s="22" t="s">
        <v>93</v>
      </c>
      <c r="D231" s="22" t="s">
        <v>93</v>
      </c>
      <c r="E231" s="23">
        <v>50</v>
      </c>
      <c r="F231" s="22" t="s">
        <v>87</v>
      </c>
      <c r="G231" s="26">
        <v>4</v>
      </c>
    </row>
    <row r="232" spans="1:7">
      <c r="A232" s="17">
        <v>46041</v>
      </c>
      <c r="B232" s="18" t="s">
        <v>37</v>
      </c>
      <c r="C232" s="18" t="s">
        <v>93</v>
      </c>
      <c r="D232" s="18" t="s">
        <v>93</v>
      </c>
      <c r="E232" s="19">
        <v>50</v>
      </c>
      <c r="F232" s="18" t="s">
        <v>87</v>
      </c>
      <c r="G232" s="26">
        <v>4</v>
      </c>
    </row>
    <row r="233" spans="1:7">
      <c r="A233" s="21">
        <v>46041</v>
      </c>
      <c r="B233" s="22" t="s">
        <v>37</v>
      </c>
      <c r="C233" s="22" t="s">
        <v>93</v>
      </c>
      <c r="D233" s="22" t="s">
        <v>93</v>
      </c>
      <c r="E233" s="23">
        <v>50</v>
      </c>
      <c r="F233" s="22" t="s">
        <v>87</v>
      </c>
      <c r="G233" s="26">
        <v>4</v>
      </c>
    </row>
    <row r="234" spans="1:7">
      <c r="A234" s="21">
        <v>46042</v>
      </c>
      <c r="B234" s="22" t="s">
        <v>41</v>
      </c>
      <c r="C234" s="22" t="s">
        <v>91</v>
      </c>
      <c r="D234" s="22" t="s">
        <v>91</v>
      </c>
      <c r="E234" s="23">
        <v>400</v>
      </c>
      <c r="F234" s="22" t="s">
        <v>87</v>
      </c>
      <c r="G234" s="26">
        <v>4</v>
      </c>
    </row>
    <row r="235" spans="1:7">
      <c r="A235" s="17">
        <v>46042</v>
      </c>
      <c r="B235" s="18" t="s">
        <v>41</v>
      </c>
      <c r="C235" s="18" t="s">
        <v>93</v>
      </c>
      <c r="D235" s="18" t="s">
        <v>93</v>
      </c>
      <c r="E235" s="19">
        <v>50</v>
      </c>
      <c r="F235" s="18" t="s">
        <v>87</v>
      </c>
      <c r="G235" s="26">
        <v>4</v>
      </c>
    </row>
    <row r="236" spans="1:7">
      <c r="A236" s="21">
        <v>46042</v>
      </c>
      <c r="B236" s="22" t="s">
        <v>41</v>
      </c>
      <c r="C236" s="22" t="s">
        <v>35</v>
      </c>
      <c r="D236" s="22" t="s">
        <v>35</v>
      </c>
      <c r="E236" s="23">
        <v>100</v>
      </c>
      <c r="F236" s="22" t="s">
        <v>87</v>
      </c>
      <c r="G236" s="26">
        <v>4</v>
      </c>
    </row>
    <row r="237" spans="1:7">
      <c r="A237" s="17">
        <v>46042</v>
      </c>
      <c r="B237" s="18" t="s">
        <v>41</v>
      </c>
      <c r="C237" s="18" t="s">
        <v>187</v>
      </c>
      <c r="D237" s="18" t="s">
        <v>86</v>
      </c>
      <c r="E237" s="19">
        <v>280</v>
      </c>
      <c r="F237" s="18" t="s">
        <v>87</v>
      </c>
      <c r="G237" s="26">
        <v>4</v>
      </c>
    </row>
    <row r="238" spans="1:7">
      <c r="A238" s="21">
        <v>46042</v>
      </c>
      <c r="B238" s="22" t="s">
        <v>41</v>
      </c>
      <c r="C238" s="22" t="s">
        <v>188</v>
      </c>
      <c r="D238" s="22" t="s">
        <v>95</v>
      </c>
      <c r="E238" s="23">
        <v>100</v>
      </c>
      <c r="F238" s="22" t="s">
        <v>87</v>
      </c>
      <c r="G238" s="26">
        <v>4</v>
      </c>
    </row>
    <row r="239" spans="1:7">
      <c r="A239" s="17">
        <v>46042</v>
      </c>
      <c r="B239" s="18" t="s">
        <v>41</v>
      </c>
      <c r="C239" s="18" t="s">
        <v>35</v>
      </c>
      <c r="D239" s="18" t="s">
        <v>35</v>
      </c>
      <c r="E239" s="19">
        <v>60</v>
      </c>
      <c r="F239" s="18" t="s">
        <v>87</v>
      </c>
      <c r="G239" s="26">
        <v>4</v>
      </c>
    </row>
    <row r="240" spans="1:7">
      <c r="A240" s="21">
        <v>46042</v>
      </c>
      <c r="B240" s="22" t="s">
        <v>41</v>
      </c>
      <c r="C240" s="22" t="s">
        <v>35</v>
      </c>
      <c r="D240" s="22" t="s">
        <v>35</v>
      </c>
      <c r="E240" s="23">
        <v>40</v>
      </c>
      <c r="F240" s="22" t="s">
        <v>87</v>
      </c>
      <c r="G240" s="26">
        <v>4</v>
      </c>
    </row>
    <row r="241" spans="1:7">
      <c r="A241" s="17">
        <v>46042</v>
      </c>
      <c r="B241" s="18" t="s">
        <v>41</v>
      </c>
      <c r="C241" s="18" t="s">
        <v>93</v>
      </c>
      <c r="D241" s="18" t="s">
        <v>93</v>
      </c>
      <c r="E241" s="19">
        <v>50</v>
      </c>
      <c r="F241" s="18" t="s">
        <v>87</v>
      </c>
      <c r="G241" s="26">
        <v>4</v>
      </c>
    </row>
    <row r="242" spans="1:7">
      <c r="A242" s="21">
        <v>46042</v>
      </c>
      <c r="B242" s="22" t="s">
        <v>41</v>
      </c>
      <c r="C242" s="22" t="s">
        <v>93</v>
      </c>
      <c r="D242" s="22" t="s">
        <v>93</v>
      </c>
      <c r="E242" s="23">
        <v>50</v>
      </c>
      <c r="F242" s="22" t="s">
        <v>87</v>
      </c>
      <c r="G242" s="26">
        <v>4</v>
      </c>
    </row>
    <row r="243" spans="1:7">
      <c r="A243" s="21">
        <v>46042</v>
      </c>
      <c r="B243" s="22" t="s">
        <v>41</v>
      </c>
      <c r="C243" s="22" t="s">
        <v>189</v>
      </c>
      <c r="D243" s="22" t="s">
        <v>105</v>
      </c>
      <c r="E243" s="23">
        <v>80</v>
      </c>
      <c r="F243" s="22" t="s">
        <v>87</v>
      </c>
      <c r="G243" s="26">
        <v>4</v>
      </c>
    </row>
    <row r="244" spans="1:7">
      <c r="A244" s="17">
        <v>46042</v>
      </c>
      <c r="B244" s="18" t="s">
        <v>41</v>
      </c>
      <c r="C244" s="18" t="s">
        <v>190</v>
      </c>
      <c r="D244" s="18" t="s">
        <v>86</v>
      </c>
      <c r="E244" s="19">
        <v>520</v>
      </c>
      <c r="F244" s="18" t="s">
        <v>87</v>
      </c>
      <c r="G244" s="26">
        <v>4</v>
      </c>
    </row>
    <row r="245" spans="1:7">
      <c r="A245" s="21">
        <v>46042</v>
      </c>
      <c r="B245" s="22" t="s">
        <v>41</v>
      </c>
      <c r="C245" s="22" t="s">
        <v>94</v>
      </c>
      <c r="D245" s="22" t="s">
        <v>95</v>
      </c>
      <c r="E245" s="23">
        <v>250</v>
      </c>
      <c r="F245" s="22" t="s">
        <v>87</v>
      </c>
      <c r="G245" s="26">
        <v>4</v>
      </c>
    </row>
    <row r="246" spans="1:7">
      <c r="A246" s="21">
        <v>46042</v>
      </c>
      <c r="B246" s="22" t="s">
        <v>41</v>
      </c>
      <c r="C246" s="22" t="s">
        <v>164</v>
      </c>
      <c r="D246" s="22" t="s">
        <v>35</v>
      </c>
      <c r="E246" s="23">
        <v>120</v>
      </c>
      <c r="F246" s="22" t="s">
        <v>87</v>
      </c>
      <c r="G246" s="26">
        <v>4</v>
      </c>
    </row>
    <row r="247" spans="1:7">
      <c r="A247" s="21">
        <v>46042</v>
      </c>
      <c r="B247" s="22" t="s">
        <v>41</v>
      </c>
      <c r="C247" s="22" t="s">
        <v>35</v>
      </c>
      <c r="D247" s="22" t="s">
        <v>35</v>
      </c>
      <c r="E247" s="23">
        <v>80</v>
      </c>
      <c r="F247" s="22" t="s">
        <v>87</v>
      </c>
      <c r="G247" s="26">
        <v>4</v>
      </c>
    </row>
    <row r="248" spans="1:7">
      <c r="A248" s="17">
        <v>46042</v>
      </c>
      <c r="B248" s="18" t="s">
        <v>41</v>
      </c>
      <c r="C248" s="18" t="s">
        <v>93</v>
      </c>
      <c r="D248" s="18" t="s">
        <v>93</v>
      </c>
      <c r="E248" s="19">
        <v>50</v>
      </c>
      <c r="F248" s="18" t="s">
        <v>87</v>
      </c>
      <c r="G248" s="26">
        <v>4</v>
      </c>
    </row>
    <row r="249" spans="1:7">
      <c r="A249" s="21">
        <v>46042</v>
      </c>
      <c r="B249" s="22" t="s">
        <v>41</v>
      </c>
      <c r="C249" s="22" t="s">
        <v>93</v>
      </c>
      <c r="D249" s="22" t="s">
        <v>93</v>
      </c>
      <c r="E249" s="23">
        <v>50</v>
      </c>
      <c r="F249" s="22" t="s">
        <v>87</v>
      </c>
      <c r="G249" s="26">
        <v>4</v>
      </c>
    </row>
    <row r="250" spans="1:7">
      <c r="A250" s="17">
        <v>46042</v>
      </c>
      <c r="B250" s="18" t="s">
        <v>41</v>
      </c>
      <c r="C250" s="18" t="s">
        <v>176</v>
      </c>
      <c r="D250" s="18" t="s">
        <v>99</v>
      </c>
      <c r="E250" s="19">
        <v>10</v>
      </c>
      <c r="F250" s="18" t="s">
        <v>87</v>
      </c>
      <c r="G250" s="26">
        <v>4</v>
      </c>
    </row>
    <row r="251" spans="1:7">
      <c r="A251" s="21">
        <v>46042</v>
      </c>
      <c r="B251" s="22" t="s">
        <v>41</v>
      </c>
      <c r="C251" s="22" t="s">
        <v>93</v>
      </c>
      <c r="D251" s="22" t="s">
        <v>93</v>
      </c>
      <c r="E251" s="23">
        <v>50</v>
      </c>
      <c r="F251" s="22" t="s">
        <v>87</v>
      </c>
      <c r="G251" s="26">
        <v>4</v>
      </c>
    </row>
    <row r="252" spans="1:7">
      <c r="A252" s="17">
        <v>46043</v>
      </c>
      <c r="B252" s="18" t="s">
        <v>45</v>
      </c>
      <c r="C252" s="18" t="s">
        <v>181</v>
      </c>
      <c r="D252" s="18" t="s">
        <v>35</v>
      </c>
      <c r="E252" s="19">
        <v>40</v>
      </c>
      <c r="F252" s="18" t="s">
        <v>87</v>
      </c>
      <c r="G252" s="26">
        <v>4</v>
      </c>
    </row>
    <row r="253" spans="1:7">
      <c r="A253" s="21">
        <v>46043</v>
      </c>
      <c r="B253" s="22" t="s">
        <v>45</v>
      </c>
      <c r="C253" s="22" t="s">
        <v>35</v>
      </c>
      <c r="D253" s="22" t="s">
        <v>35</v>
      </c>
      <c r="E253" s="23">
        <v>80</v>
      </c>
      <c r="F253" s="22" t="s">
        <v>87</v>
      </c>
      <c r="G253" s="26">
        <v>4</v>
      </c>
    </row>
    <row r="254" spans="1:7">
      <c r="A254" s="17">
        <v>46043</v>
      </c>
      <c r="B254" s="18" t="s">
        <v>45</v>
      </c>
      <c r="C254" s="18" t="s">
        <v>191</v>
      </c>
      <c r="D254" s="18" t="s">
        <v>86</v>
      </c>
      <c r="E254" s="19">
        <v>135</v>
      </c>
      <c r="F254" s="18" t="s">
        <v>87</v>
      </c>
      <c r="G254" s="26">
        <v>4</v>
      </c>
    </row>
    <row r="255" spans="1:7">
      <c r="A255" s="21">
        <v>46043</v>
      </c>
      <c r="B255" s="22" t="s">
        <v>45</v>
      </c>
      <c r="C255" s="22" t="s">
        <v>35</v>
      </c>
      <c r="D255" s="22" t="s">
        <v>35</v>
      </c>
      <c r="E255" s="23">
        <v>80</v>
      </c>
      <c r="F255" s="22" t="s">
        <v>87</v>
      </c>
      <c r="G255" s="26">
        <v>4</v>
      </c>
    </row>
    <row r="256" spans="1:7">
      <c r="A256" s="17">
        <v>46043</v>
      </c>
      <c r="B256" s="18" t="s">
        <v>45</v>
      </c>
      <c r="C256" s="18" t="s">
        <v>35</v>
      </c>
      <c r="D256" s="18" t="s">
        <v>35</v>
      </c>
      <c r="E256" s="19">
        <v>120</v>
      </c>
      <c r="F256" s="18" t="s">
        <v>87</v>
      </c>
      <c r="G256" s="26">
        <v>4</v>
      </c>
    </row>
    <row r="257" spans="1:7">
      <c r="A257" s="17">
        <v>46043</v>
      </c>
      <c r="B257" s="18" t="s">
        <v>45</v>
      </c>
      <c r="C257" s="18" t="s">
        <v>121</v>
      </c>
      <c r="D257" s="18" t="s">
        <v>86</v>
      </c>
      <c r="E257" s="19">
        <v>10</v>
      </c>
      <c r="F257" s="18" t="s">
        <v>87</v>
      </c>
      <c r="G257" s="26">
        <v>4</v>
      </c>
    </row>
    <row r="258" spans="1:7">
      <c r="A258" s="21">
        <v>46043</v>
      </c>
      <c r="B258" s="22" t="s">
        <v>45</v>
      </c>
      <c r="C258" s="22" t="s">
        <v>93</v>
      </c>
      <c r="D258" s="22" t="s">
        <v>93</v>
      </c>
      <c r="E258" s="23">
        <v>50</v>
      </c>
      <c r="F258" s="22" t="s">
        <v>87</v>
      </c>
      <c r="G258" s="26">
        <v>4</v>
      </c>
    </row>
    <row r="259" spans="1:7">
      <c r="A259" s="17">
        <v>46043</v>
      </c>
      <c r="B259" s="18" t="s">
        <v>45</v>
      </c>
      <c r="C259" s="18" t="s">
        <v>192</v>
      </c>
      <c r="D259" s="18" t="s">
        <v>86</v>
      </c>
      <c r="E259" s="19">
        <v>125</v>
      </c>
      <c r="F259" s="18" t="s">
        <v>87</v>
      </c>
      <c r="G259" s="26">
        <v>4</v>
      </c>
    </row>
    <row r="260" spans="1:7">
      <c r="A260" s="21">
        <v>46043</v>
      </c>
      <c r="B260" s="22" t="s">
        <v>45</v>
      </c>
      <c r="C260" s="22" t="s">
        <v>93</v>
      </c>
      <c r="D260" s="22" t="s">
        <v>93</v>
      </c>
      <c r="E260" s="23">
        <v>50</v>
      </c>
      <c r="F260" s="22" t="s">
        <v>87</v>
      </c>
      <c r="G260" s="26">
        <v>4</v>
      </c>
    </row>
    <row r="261" spans="1:7">
      <c r="A261" s="17">
        <v>46043</v>
      </c>
      <c r="B261" s="18" t="s">
        <v>45</v>
      </c>
      <c r="C261" s="18" t="s">
        <v>93</v>
      </c>
      <c r="D261" s="18" t="s">
        <v>93</v>
      </c>
      <c r="E261" s="19">
        <v>50</v>
      </c>
      <c r="F261" s="18" t="s">
        <v>87</v>
      </c>
      <c r="G261" s="26">
        <v>4</v>
      </c>
    </row>
    <row r="262" spans="1:7">
      <c r="A262" s="17">
        <v>46044</v>
      </c>
      <c r="B262" s="18" t="s">
        <v>50</v>
      </c>
      <c r="C262" s="18" t="s">
        <v>193</v>
      </c>
      <c r="D262" s="18" t="s">
        <v>35</v>
      </c>
      <c r="E262" s="19">
        <v>225</v>
      </c>
      <c r="F262" s="18" t="s">
        <v>87</v>
      </c>
      <c r="G262" s="26">
        <v>4</v>
      </c>
    </row>
    <row r="263" spans="1:7">
      <c r="A263" s="21">
        <v>46044</v>
      </c>
      <c r="B263" s="22" t="s">
        <v>50</v>
      </c>
      <c r="C263" s="22" t="s">
        <v>115</v>
      </c>
      <c r="D263" s="22" t="s">
        <v>35</v>
      </c>
      <c r="E263" s="23">
        <v>110</v>
      </c>
      <c r="F263" s="22" t="s">
        <v>87</v>
      </c>
      <c r="G263" s="26">
        <v>4</v>
      </c>
    </row>
    <row r="264" spans="1:7">
      <c r="A264" s="17">
        <v>46044</v>
      </c>
      <c r="B264" s="18" t="s">
        <v>50</v>
      </c>
      <c r="C264" s="18" t="s">
        <v>194</v>
      </c>
      <c r="D264" s="18" t="s">
        <v>95</v>
      </c>
      <c r="E264" s="19">
        <v>200</v>
      </c>
      <c r="F264" s="18" t="s">
        <v>87</v>
      </c>
      <c r="G264" s="26">
        <v>4</v>
      </c>
    </row>
    <row r="265" spans="1:7">
      <c r="A265" s="21">
        <v>46044</v>
      </c>
      <c r="B265" s="22" t="s">
        <v>50</v>
      </c>
      <c r="C265" s="22" t="s">
        <v>35</v>
      </c>
      <c r="D265" s="22" t="s">
        <v>35</v>
      </c>
      <c r="E265" s="23">
        <v>20</v>
      </c>
      <c r="F265" s="22" t="s">
        <v>87</v>
      </c>
      <c r="G265" s="26">
        <v>4</v>
      </c>
    </row>
    <row r="266" spans="1:7">
      <c r="A266" s="17">
        <v>46044</v>
      </c>
      <c r="B266" s="18" t="s">
        <v>50</v>
      </c>
      <c r="C266" s="18" t="s">
        <v>195</v>
      </c>
      <c r="D266" s="18" t="s">
        <v>124</v>
      </c>
      <c r="E266" s="19">
        <v>500</v>
      </c>
      <c r="F266" s="18" t="s">
        <v>87</v>
      </c>
      <c r="G266" s="26">
        <v>4</v>
      </c>
    </row>
    <row r="267" spans="1:7">
      <c r="A267" s="21">
        <v>46044</v>
      </c>
      <c r="B267" s="22" t="s">
        <v>50</v>
      </c>
      <c r="C267" s="22" t="s">
        <v>170</v>
      </c>
      <c r="D267" s="22" t="s">
        <v>35</v>
      </c>
      <c r="E267" s="23">
        <v>40</v>
      </c>
      <c r="F267" s="22" t="s">
        <v>87</v>
      </c>
      <c r="G267" s="26">
        <v>4</v>
      </c>
    </row>
    <row r="268" spans="1:7">
      <c r="A268" s="17">
        <v>46044</v>
      </c>
      <c r="B268" s="18" t="s">
        <v>50</v>
      </c>
      <c r="C268" s="18" t="s">
        <v>196</v>
      </c>
      <c r="D268" s="18" t="s">
        <v>86</v>
      </c>
      <c r="E268" s="19">
        <v>15</v>
      </c>
      <c r="F268" s="18" t="s">
        <v>87</v>
      </c>
      <c r="G268" s="26">
        <v>4</v>
      </c>
    </row>
    <row r="269" spans="1:7">
      <c r="A269" s="21">
        <v>46044</v>
      </c>
      <c r="B269" s="22" t="s">
        <v>50</v>
      </c>
      <c r="C269" s="22" t="s">
        <v>172</v>
      </c>
      <c r="D269" s="22" t="s">
        <v>35</v>
      </c>
      <c r="E269" s="23">
        <v>50</v>
      </c>
      <c r="F269" s="22" t="s">
        <v>87</v>
      </c>
      <c r="G269" s="26">
        <v>4</v>
      </c>
    </row>
    <row r="270" spans="1:7">
      <c r="A270" s="17">
        <v>46044</v>
      </c>
      <c r="B270" s="18" t="s">
        <v>50</v>
      </c>
      <c r="C270" s="18" t="s">
        <v>43</v>
      </c>
      <c r="D270" s="18" t="s">
        <v>86</v>
      </c>
      <c r="E270" s="19">
        <v>25</v>
      </c>
      <c r="F270" s="18" t="s">
        <v>87</v>
      </c>
      <c r="G270" s="26">
        <v>4</v>
      </c>
    </row>
    <row r="271" spans="1:7">
      <c r="A271" s="21">
        <v>46044</v>
      </c>
      <c r="B271" s="22" t="s">
        <v>50</v>
      </c>
      <c r="C271" s="22" t="s">
        <v>35</v>
      </c>
      <c r="D271" s="22" t="s">
        <v>35</v>
      </c>
      <c r="E271" s="23">
        <v>20</v>
      </c>
      <c r="F271" s="22" t="s">
        <v>87</v>
      </c>
      <c r="G271" s="26">
        <v>4</v>
      </c>
    </row>
    <row r="272" spans="1:7">
      <c r="A272" s="17">
        <v>46044</v>
      </c>
      <c r="B272" s="18" t="s">
        <v>50</v>
      </c>
      <c r="C272" s="18" t="s">
        <v>91</v>
      </c>
      <c r="D272" s="18" t="s">
        <v>91</v>
      </c>
      <c r="E272" s="19">
        <v>100</v>
      </c>
      <c r="F272" s="18" t="s">
        <v>87</v>
      </c>
      <c r="G272" s="26">
        <v>4</v>
      </c>
    </row>
    <row r="273" spans="1:7">
      <c r="A273" s="21">
        <v>46044</v>
      </c>
      <c r="B273" s="22" t="s">
        <v>50</v>
      </c>
      <c r="C273" s="22" t="s">
        <v>93</v>
      </c>
      <c r="D273" s="22" t="s">
        <v>93</v>
      </c>
      <c r="E273" s="23">
        <v>50</v>
      </c>
      <c r="F273" s="22" t="s">
        <v>87</v>
      </c>
      <c r="G273" s="26">
        <v>4</v>
      </c>
    </row>
    <row r="274" spans="1:7">
      <c r="A274" s="21">
        <v>46044</v>
      </c>
      <c r="B274" s="22" t="s">
        <v>50</v>
      </c>
      <c r="C274" s="22" t="s">
        <v>197</v>
      </c>
      <c r="D274" s="22" t="s">
        <v>114</v>
      </c>
      <c r="E274" s="23">
        <v>1780</v>
      </c>
      <c r="F274" s="22" t="s">
        <v>87</v>
      </c>
      <c r="G274" s="26">
        <v>4</v>
      </c>
    </row>
    <row r="275" spans="1:7">
      <c r="A275" s="17">
        <v>46044</v>
      </c>
      <c r="B275" s="18" t="s">
        <v>50</v>
      </c>
      <c r="C275" s="18" t="s">
        <v>153</v>
      </c>
      <c r="D275" s="18" t="s">
        <v>35</v>
      </c>
      <c r="E275" s="19">
        <v>20</v>
      </c>
      <c r="F275" s="18" t="s">
        <v>87</v>
      </c>
      <c r="G275" s="26">
        <v>4</v>
      </c>
    </row>
    <row r="276" spans="1:7">
      <c r="A276" s="21">
        <v>46044</v>
      </c>
      <c r="B276" s="22" t="s">
        <v>50</v>
      </c>
      <c r="C276" s="22" t="s">
        <v>93</v>
      </c>
      <c r="D276" s="22" t="s">
        <v>93</v>
      </c>
      <c r="E276" s="23">
        <v>50</v>
      </c>
      <c r="F276" s="22" t="s">
        <v>87</v>
      </c>
      <c r="G276" s="26">
        <v>4</v>
      </c>
    </row>
    <row r="277" spans="1:7">
      <c r="A277" s="17">
        <v>46044</v>
      </c>
      <c r="B277" s="18" t="s">
        <v>50</v>
      </c>
      <c r="C277" s="18" t="s">
        <v>170</v>
      </c>
      <c r="D277" s="18" t="s">
        <v>35</v>
      </c>
      <c r="E277" s="19">
        <v>70</v>
      </c>
      <c r="F277" s="18" t="s">
        <v>87</v>
      </c>
      <c r="G277" s="26">
        <v>4</v>
      </c>
    </row>
    <row r="278" spans="1:7">
      <c r="A278" s="21">
        <v>46044</v>
      </c>
      <c r="B278" s="22" t="s">
        <v>50</v>
      </c>
      <c r="C278" s="22" t="s">
        <v>198</v>
      </c>
      <c r="D278" s="22" t="s">
        <v>105</v>
      </c>
      <c r="E278" s="23">
        <v>100</v>
      </c>
      <c r="F278" s="22" t="s">
        <v>87</v>
      </c>
      <c r="G278" s="26">
        <v>4</v>
      </c>
    </row>
    <row r="279" spans="1:7">
      <c r="A279" s="17">
        <v>46044</v>
      </c>
      <c r="B279" s="18" t="s">
        <v>50</v>
      </c>
      <c r="C279" s="18" t="s">
        <v>199</v>
      </c>
      <c r="D279" s="18" t="s">
        <v>105</v>
      </c>
      <c r="E279" s="19">
        <v>125</v>
      </c>
      <c r="F279" s="18" t="s">
        <v>87</v>
      </c>
      <c r="G279" s="26">
        <v>4</v>
      </c>
    </row>
    <row r="280" spans="1:7">
      <c r="A280" s="21">
        <v>46044</v>
      </c>
      <c r="B280" s="22" t="s">
        <v>50</v>
      </c>
      <c r="C280" s="22" t="s">
        <v>106</v>
      </c>
      <c r="D280" s="22" t="s">
        <v>107</v>
      </c>
      <c r="E280" s="23">
        <v>100</v>
      </c>
      <c r="F280" s="22" t="s">
        <v>87</v>
      </c>
      <c r="G280" s="26">
        <v>4</v>
      </c>
    </row>
    <row r="281" spans="1:7">
      <c r="A281" s="17">
        <v>46044</v>
      </c>
      <c r="B281" s="18" t="s">
        <v>50</v>
      </c>
      <c r="C281" s="18" t="s">
        <v>35</v>
      </c>
      <c r="D281" s="18" t="s">
        <v>35</v>
      </c>
      <c r="E281" s="19">
        <v>60</v>
      </c>
      <c r="F281" s="18" t="s">
        <v>87</v>
      </c>
      <c r="G281" s="26">
        <v>4</v>
      </c>
    </row>
    <row r="282" spans="1:7">
      <c r="A282" s="21">
        <v>46044</v>
      </c>
      <c r="B282" s="22" t="s">
        <v>50</v>
      </c>
      <c r="C282" s="22" t="s">
        <v>200</v>
      </c>
      <c r="D282" s="22" t="s">
        <v>86</v>
      </c>
      <c r="E282" s="23">
        <v>100</v>
      </c>
      <c r="F282" s="22" t="s">
        <v>87</v>
      </c>
      <c r="G282" s="26">
        <v>4</v>
      </c>
    </row>
    <row r="283" spans="1:7">
      <c r="A283" s="17">
        <v>46044</v>
      </c>
      <c r="B283" s="18" t="s">
        <v>50</v>
      </c>
      <c r="C283" s="18" t="s">
        <v>201</v>
      </c>
      <c r="D283" s="18" t="s">
        <v>48</v>
      </c>
      <c r="E283" s="19">
        <v>120</v>
      </c>
      <c r="F283" s="18" t="s">
        <v>87</v>
      </c>
      <c r="G283" s="26">
        <v>4</v>
      </c>
    </row>
    <row r="284" spans="1:7">
      <c r="A284" s="17">
        <v>46044</v>
      </c>
      <c r="B284" s="18" t="s">
        <v>50</v>
      </c>
      <c r="C284" s="18" t="s">
        <v>170</v>
      </c>
      <c r="D284" s="18" t="s">
        <v>35</v>
      </c>
      <c r="E284" s="19">
        <v>40</v>
      </c>
      <c r="F284" s="18" t="s">
        <v>87</v>
      </c>
      <c r="G284" s="26">
        <v>4</v>
      </c>
    </row>
    <row r="285" spans="1:7">
      <c r="A285" s="21">
        <v>46044</v>
      </c>
      <c r="B285" s="22" t="s">
        <v>50</v>
      </c>
      <c r="C285" s="22" t="s">
        <v>93</v>
      </c>
      <c r="D285" s="22" t="s">
        <v>93</v>
      </c>
      <c r="E285" s="23">
        <v>50</v>
      </c>
      <c r="F285" s="22" t="s">
        <v>87</v>
      </c>
      <c r="G285" s="26">
        <v>4</v>
      </c>
    </row>
    <row r="286" spans="1:7">
      <c r="A286" s="17">
        <v>46044</v>
      </c>
      <c r="B286" s="18" t="s">
        <v>50</v>
      </c>
      <c r="C286" s="18" t="s">
        <v>35</v>
      </c>
      <c r="D286" s="18" t="s">
        <v>35</v>
      </c>
      <c r="E286" s="19">
        <v>40</v>
      </c>
      <c r="F286" s="18" t="s">
        <v>87</v>
      </c>
      <c r="G286" s="26">
        <v>4</v>
      </c>
    </row>
    <row r="287" spans="1:7">
      <c r="A287" s="21">
        <v>46044</v>
      </c>
      <c r="B287" s="22" t="s">
        <v>50</v>
      </c>
      <c r="C287" s="22" t="s">
        <v>35</v>
      </c>
      <c r="D287" s="22" t="s">
        <v>35</v>
      </c>
      <c r="E287" s="23">
        <v>30</v>
      </c>
      <c r="F287" s="22" t="s">
        <v>87</v>
      </c>
      <c r="G287" s="26">
        <v>4</v>
      </c>
    </row>
    <row r="288" spans="1:7">
      <c r="A288" s="17">
        <v>46044</v>
      </c>
      <c r="B288" s="18" t="s">
        <v>50</v>
      </c>
      <c r="C288" s="18" t="s">
        <v>35</v>
      </c>
      <c r="D288" s="18" t="s">
        <v>35</v>
      </c>
      <c r="E288" s="19">
        <v>20</v>
      </c>
      <c r="F288" s="18" t="s">
        <v>87</v>
      </c>
      <c r="G288" s="26">
        <v>4</v>
      </c>
    </row>
    <row r="289" spans="1:7">
      <c r="A289" s="21">
        <v>46044</v>
      </c>
      <c r="B289" s="22" t="s">
        <v>50</v>
      </c>
      <c r="C289" s="22" t="s">
        <v>48</v>
      </c>
      <c r="D289" s="22" t="s">
        <v>48</v>
      </c>
      <c r="E289" s="23">
        <v>80</v>
      </c>
      <c r="F289" s="22" t="s">
        <v>87</v>
      </c>
      <c r="G289" s="26">
        <v>4</v>
      </c>
    </row>
    <row r="290" spans="1:7">
      <c r="A290" s="21">
        <v>46045</v>
      </c>
      <c r="B290" s="22" t="s">
        <v>54</v>
      </c>
      <c r="C290" s="22" t="s">
        <v>35</v>
      </c>
      <c r="D290" s="22" t="s">
        <v>35</v>
      </c>
      <c r="E290" s="23">
        <v>10</v>
      </c>
      <c r="F290" s="22" t="s">
        <v>87</v>
      </c>
      <c r="G290" s="26">
        <v>4</v>
      </c>
    </row>
    <row r="291" spans="1:7">
      <c r="A291" s="17">
        <v>46045</v>
      </c>
      <c r="B291" s="18" t="s">
        <v>54</v>
      </c>
      <c r="C291" s="18" t="s">
        <v>202</v>
      </c>
      <c r="D291" s="18" t="s">
        <v>124</v>
      </c>
      <c r="E291" s="19">
        <v>400</v>
      </c>
      <c r="F291" s="18" t="s">
        <v>87</v>
      </c>
      <c r="G291" s="26">
        <v>4</v>
      </c>
    </row>
    <row r="292" spans="1:7">
      <c r="A292" s="21">
        <v>46045</v>
      </c>
      <c r="B292" s="22" t="s">
        <v>54</v>
      </c>
      <c r="C292" s="22" t="s">
        <v>141</v>
      </c>
      <c r="D292" s="22" t="s">
        <v>35</v>
      </c>
      <c r="E292" s="23">
        <v>70</v>
      </c>
      <c r="F292" s="22" t="s">
        <v>87</v>
      </c>
      <c r="G292" s="26">
        <v>4</v>
      </c>
    </row>
    <row r="293" spans="1:7">
      <c r="A293" s="17">
        <v>46045</v>
      </c>
      <c r="B293" s="18" t="s">
        <v>54</v>
      </c>
      <c r="C293" s="18" t="s">
        <v>203</v>
      </c>
      <c r="D293" s="18" t="s">
        <v>99</v>
      </c>
      <c r="E293" s="19">
        <v>5</v>
      </c>
      <c r="F293" s="18" t="s">
        <v>87</v>
      </c>
      <c r="G293" s="26">
        <v>4</v>
      </c>
    </row>
    <row r="294" spans="1:7">
      <c r="A294" s="21">
        <v>46045</v>
      </c>
      <c r="B294" s="22" t="s">
        <v>54</v>
      </c>
      <c r="C294" s="22" t="s">
        <v>93</v>
      </c>
      <c r="D294" s="22" t="s">
        <v>93</v>
      </c>
      <c r="E294" s="23">
        <v>50</v>
      </c>
      <c r="F294" s="22" t="s">
        <v>87</v>
      </c>
      <c r="G294" s="26">
        <v>4</v>
      </c>
    </row>
    <row r="295" spans="1:7">
      <c r="A295" s="17">
        <v>46045</v>
      </c>
      <c r="B295" s="18" t="s">
        <v>54</v>
      </c>
      <c r="C295" s="18" t="s">
        <v>35</v>
      </c>
      <c r="D295" s="18" t="s">
        <v>35</v>
      </c>
      <c r="E295" s="19">
        <v>20</v>
      </c>
      <c r="F295" s="18" t="s">
        <v>87</v>
      </c>
      <c r="G295" s="26">
        <v>4</v>
      </c>
    </row>
    <row r="296" spans="1:7">
      <c r="A296" s="21">
        <v>46045</v>
      </c>
      <c r="B296" s="22" t="s">
        <v>54</v>
      </c>
      <c r="C296" s="22" t="s">
        <v>93</v>
      </c>
      <c r="D296" s="22" t="s">
        <v>93</v>
      </c>
      <c r="E296" s="23">
        <v>50</v>
      </c>
      <c r="F296" s="22" t="s">
        <v>87</v>
      </c>
      <c r="G296" s="26">
        <v>4</v>
      </c>
    </row>
    <row r="297" spans="1:7">
      <c r="A297" s="17">
        <v>46045</v>
      </c>
      <c r="B297" s="18" t="s">
        <v>54</v>
      </c>
      <c r="C297" s="18" t="s">
        <v>88</v>
      </c>
      <c r="D297" s="18" t="s">
        <v>86</v>
      </c>
      <c r="E297" s="19">
        <v>10</v>
      </c>
      <c r="F297" s="18" t="s">
        <v>87</v>
      </c>
      <c r="G297" s="26">
        <v>4</v>
      </c>
    </row>
    <row r="298" spans="1:7">
      <c r="A298" s="21">
        <v>46045</v>
      </c>
      <c r="B298" s="22" t="s">
        <v>54</v>
      </c>
      <c r="C298" s="22" t="s">
        <v>170</v>
      </c>
      <c r="D298" s="22" t="s">
        <v>35</v>
      </c>
      <c r="E298" s="23">
        <v>100</v>
      </c>
      <c r="F298" s="22" t="s">
        <v>87</v>
      </c>
      <c r="G298" s="26">
        <v>4</v>
      </c>
    </row>
    <row r="299" spans="1:7">
      <c r="A299" s="17">
        <v>46045</v>
      </c>
      <c r="B299" s="18" t="s">
        <v>54</v>
      </c>
      <c r="C299" s="18" t="s">
        <v>172</v>
      </c>
      <c r="D299" s="18" t="s">
        <v>35</v>
      </c>
      <c r="E299" s="19">
        <v>60</v>
      </c>
      <c r="F299" s="18" t="s">
        <v>87</v>
      </c>
      <c r="G299" s="26">
        <v>4</v>
      </c>
    </row>
    <row r="300" spans="1:7">
      <c r="A300" s="21">
        <v>46045</v>
      </c>
      <c r="B300" s="22" t="s">
        <v>54</v>
      </c>
      <c r="C300" s="22" t="s">
        <v>71</v>
      </c>
      <c r="D300" s="22" t="s">
        <v>71</v>
      </c>
      <c r="E300" s="23">
        <v>80</v>
      </c>
      <c r="F300" s="22" t="s">
        <v>87</v>
      </c>
      <c r="G300" s="26">
        <v>4</v>
      </c>
    </row>
    <row r="301" spans="1:7">
      <c r="A301" s="17">
        <v>46045</v>
      </c>
      <c r="B301" s="18" t="s">
        <v>54</v>
      </c>
      <c r="C301" s="18" t="s">
        <v>88</v>
      </c>
      <c r="D301" s="18" t="s">
        <v>86</v>
      </c>
      <c r="E301" s="19">
        <v>700</v>
      </c>
      <c r="F301" s="18" t="s">
        <v>87</v>
      </c>
      <c r="G301" s="26">
        <v>4</v>
      </c>
    </row>
    <row r="302" spans="1:7">
      <c r="A302" s="21">
        <v>46045</v>
      </c>
      <c r="B302" s="22" t="s">
        <v>54</v>
      </c>
      <c r="C302" s="22" t="s">
        <v>88</v>
      </c>
      <c r="D302" s="22" t="s">
        <v>86</v>
      </c>
      <c r="E302" s="23">
        <v>40</v>
      </c>
      <c r="F302" s="22" t="s">
        <v>87</v>
      </c>
      <c r="G302" s="26">
        <v>4</v>
      </c>
    </row>
    <row r="303" spans="1:7">
      <c r="A303" s="17">
        <v>46045</v>
      </c>
      <c r="B303" s="18" t="s">
        <v>54</v>
      </c>
      <c r="C303" s="18" t="s">
        <v>204</v>
      </c>
      <c r="D303" s="18" t="s">
        <v>86</v>
      </c>
      <c r="E303" s="19">
        <v>10</v>
      </c>
      <c r="F303" s="18" t="s">
        <v>87</v>
      </c>
      <c r="G303" s="26">
        <v>4</v>
      </c>
    </row>
    <row r="304" spans="1:7">
      <c r="A304" s="21">
        <v>46045</v>
      </c>
      <c r="B304" s="22" t="s">
        <v>54</v>
      </c>
      <c r="C304" s="22" t="s">
        <v>121</v>
      </c>
      <c r="D304" s="22" t="s">
        <v>86</v>
      </c>
      <c r="E304" s="23">
        <v>10</v>
      </c>
      <c r="F304" s="22" t="s">
        <v>87</v>
      </c>
      <c r="G304" s="26">
        <v>4</v>
      </c>
    </row>
    <row r="305" spans="1:7">
      <c r="A305" s="21">
        <v>46045</v>
      </c>
      <c r="B305" s="22" t="s">
        <v>54</v>
      </c>
      <c r="C305" s="22" t="s">
        <v>205</v>
      </c>
      <c r="D305" s="22" t="s">
        <v>86</v>
      </c>
      <c r="E305" s="23">
        <v>20</v>
      </c>
      <c r="F305" s="22" t="s">
        <v>87</v>
      </c>
      <c r="G305" s="26">
        <v>4</v>
      </c>
    </row>
    <row r="306" spans="1:7">
      <c r="A306" s="21">
        <v>46045</v>
      </c>
      <c r="B306" s="22" t="s">
        <v>54</v>
      </c>
      <c r="C306" s="22" t="s">
        <v>91</v>
      </c>
      <c r="D306" s="22" t="s">
        <v>91</v>
      </c>
      <c r="E306" s="23">
        <v>70</v>
      </c>
      <c r="F306" s="22" t="s">
        <v>87</v>
      </c>
      <c r="G306" s="26">
        <v>4</v>
      </c>
    </row>
    <row r="307" spans="1:7">
      <c r="A307" s="21">
        <v>46045</v>
      </c>
      <c r="B307" s="22" t="s">
        <v>54</v>
      </c>
      <c r="C307" s="22" t="s">
        <v>206</v>
      </c>
      <c r="D307" s="22" t="s">
        <v>35</v>
      </c>
      <c r="E307" s="23">
        <v>7</v>
      </c>
      <c r="F307" s="22" t="s">
        <v>87</v>
      </c>
      <c r="G307" s="26">
        <v>4</v>
      </c>
    </row>
    <row r="308" spans="1:7">
      <c r="A308" s="17">
        <v>46045</v>
      </c>
      <c r="B308" s="18" t="s">
        <v>54</v>
      </c>
      <c r="C308" s="18" t="s">
        <v>157</v>
      </c>
      <c r="D308" s="18" t="s">
        <v>35</v>
      </c>
      <c r="E308" s="19">
        <v>100</v>
      </c>
      <c r="F308" s="18" t="s">
        <v>87</v>
      </c>
      <c r="G308" s="26">
        <v>4</v>
      </c>
    </row>
    <row r="309" spans="1:7">
      <c r="A309" s="21">
        <v>46045</v>
      </c>
      <c r="B309" s="22" t="s">
        <v>54</v>
      </c>
      <c r="C309" s="22" t="s">
        <v>207</v>
      </c>
      <c r="D309" s="22" t="s">
        <v>86</v>
      </c>
      <c r="E309" s="23">
        <v>360</v>
      </c>
      <c r="F309" s="22" t="s">
        <v>87</v>
      </c>
      <c r="G309" s="26">
        <v>4</v>
      </c>
    </row>
    <row r="310" spans="1:7">
      <c r="A310" s="17">
        <v>46045</v>
      </c>
      <c r="B310" s="18" t="s">
        <v>54</v>
      </c>
      <c r="C310" s="18" t="s">
        <v>170</v>
      </c>
      <c r="D310" s="18" t="s">
        <v>35</v>
      </c>
      <c r="E310" s="19">
        <v>90</v>
      </c>
      <c r="F310" s="18" t="s">
        <v>87</v>
      </c>
      <c r="G310" s="26">
        <v>4</v>
      </c>
    </row>
    <row r="311" spans="1:7">
      <c r="A311" s="21">
        <v>46045</v>
      </c>
      <c r="B311" s="22" t="s">
        <v>54</v>
      </c>
      <c r="C311" s="22" t="s">
        <v>92</v>
      </c>
      <c r="D311" s="22" t="s">
        <v>80</v>
      </c>
      <c r="E311" s="23">
        <v>150</v>
      </c>
      <c r="F311" s="22" t="s">
        <v>87</v>
      </c>
      <c r="G311" s="26">
        <v>4</v>
      </c>
    </row>
    <row r="312" spans="1:7">
      <c r="A312" s="17">
        <v>46045</v>
      </c>
      <c r="B312" s="18" t="s">
        <v>54</v>
      </c>
      <c r="C312" s="18" t="s">
        <v>170</v>
      </c>
      <c r="D312" s="18" t="s">
        <v>35</v>
      </c>
      <c r="E312" s="19">
        <v>140</v>
      </c>
      <c r="F312" s="18" t="s">
        <v>87</v>
      </c>
      <c r="G312" s="26">
        <v>4</v>
      </c>
    </row>
    <row r="313" spans="1:7">
      <c r="A313" s="21">
        <v>46045</v>
      </c>
      <c r="B313" s="22" t="s">
        <v>54</v>
      </c>
      <c r="C313" s="22" t="s">
        <v>208</v>
      </c>
      <c r="D313" s="22" t="s">
        <v>86</v>
      </c>
      <c r="E313" s="23">
        <v>125</v>
      </c>
      <c r="F313" s="22" t="s">
        <v>87</v>
      </c>
      <c r="G313" s="26">
        <v>4</v>
      </c>
    </row>
    <row r="314" spans="1:7">
      <c r="A314" s="17">
        <v>46045</v>
      </c>
      <c r="B314" s="18" t="s">
        <v>54</v>
      </c>
      <c r="C314" s="18" t="s">
        <v>93</v>
      </c>
      <c r="D314" s="18" t="s">
        <v>93</v>
      </c>
      <c r="E314" s="19">
        <v>50</v>
      </c>
      <c r="F314" s="18" t="s">
        <v>87</v>
      </c>
      <c r="G314" s="26">
        <v>4</v>
      </c>
    </row>
    <row r="315" spans="1:7">
      <c r="A315" s="21">
        <v>46045</v>
      </c>
      <c r="B315" s="22" t="s">
        <v>54</v>
      </c>
      <c r="C315" s="22" t="s">
        <v>93</v>
      </c>
      <c r="D315" s="22" t="s">
        <v>93</v>
      </c>
      <c r="E315" s="23">
        <v>50</v>
      </c>
      <c r="F315" s="22" t="s">
        <v>87</v>
      </c>
      <c r="G315" s="26">
        <v>4</v>
      </c>
    </row>
    <row r="316" spans="1:7">
      <c r="A316" s="17">
        <v>46045</v>
      </c>
      <c r="B316" s="18" t="s">
        <v>54</v>
      </c>
      <c r="C316" s="18" t="s">
        <v>198</v>
      </c>
      <c r="D316" s="18" t="s">
        <v>105</v>
      </c>
      <c r="E316" s="19">
        <v>100</v>
      </c>
      <c r="F316" s="18" t="s">
        <v>87</v>
      </c>
      <c r="G316" s="26">
        <v>4</v>
      </c>
    </row>
    <row r="317" spans="1:7">
      <c r="A317" s="21">
        <v>46045</v>
      </c>
      <c r="B317" s="22" t="s">
        <v>54</v>
      </c>
      <c r="C317" s="22" t="s">
        <v>93</v>
      </c>
      <c r="D317" s="22" t="s">
        <v>93</v>
      </c>
      <c r="E317" s="23">
        <v>50</v>
      </c>
      <c r="F317" s="22" t="s">
        <v>87</v>
      </c>
      <c r="G317" s="26">
        <v>4</v>
      </c>
    </row>
    <row r="318" spans="1:7">
      <c r="A318" s="17">
        <v>46045</v>
      </c>
      <c r="B318" s="18" t="s">
        <v>54</v>
      </c>
      <c r="C318" s="18" t="s">
        <v>174</v>
      </c>
      <c r="D318" s="18" t="s">
        <v>105</v>
      </c>
      <c r="E318" s="19">
        <v>30</v>
      </c>
      <c r="F318" s="18" t="s">
        <v>87</v>
      </c>
      <c r="G318" s="26">
        <v>4</v>
      </c>
    </row>
    <row r="319" spans="1:7">
      <c r="A319" s="21">
        <v>46045</v>
      </c>
      <c r="B319" s="22" t="s">
        <v>54</v>
      </c>
      <c r="C319" s="22" t="s">
        <v>209</v>
      </c>
      <c r="D319" s="22" t="s">
        <v>105</v>
      </c>
      <c r="E319" s="23">
        <v>200</v>
      </c>
      <c r="F319" s="22" t="s">
        <v>87</v>
      </c>
      <c r="G319" s="26">
        <v>4</v>
      </c>
    </row>
    <row r="320" spans="1:7">
      <c r="A320" s="17">
        <v>46045</v>
      </c>
      <c r="B320" s="18" t="s">
        <v>54</v>
      </c>
      <c r="C320" s="18" t="s">
        <v>92</v>
      </c>
      <c r="D320" s="18" t="s">
        <v>80</v>
      </c>
      <c r="E320" s="19">
        <v>260</v>
      </c>
      <c r="F320" s="18" t="s">
        <v>87</v>
      </c>
      <c r="G320" s="26">
        <v>4</v>
      </c>
    </row>
    <row r="321" spans="1:7">
      <c r="A321" s="21">
        <v>46045</v>
      </c>
      <c r="B321" s="22" t="s">
        <v>54</v>
      </c>
      <c r="C321" s="22" t="s">
        <v>93</v>
      </c>
      <c r="D321" s="22" t="s">
        <v>93</v>
      </c>
      <c r="E321" s="23">
        <v>50</v>
      </c>
      <c r="F321" s="22" t="s">
        <v>87</v>
      </c>
      <c r="G321" s="26">
        <v>4</v>
      </c>
    </row>
    <row r="322" spans="1:7">
      <c r="A322" s="17">
        <v>46046</v>
      </c>
      <c r="B322" s="18" t="s">
        <v>58</v>
      </c>
      <c r="C322" s="18" t="s">
        <v>210</v>
      </c>
      <c r="D322" s="18" t="s">
        <v>93</v>
      </c>
      <c r="E322" s="19">
        <v>250</v>
      </c>
      <c r="F322" s="18" t="s">
        <v>87</v>
      </c>
      <c r="G322" s="26">
        <v>4</v>
      </c>
    </row>
    <row r="323" spans="1:7">
      <c r="A323" s="21">
        <v>46046</v>
      </c>
      <c r="B323" s="22" t="s">
        <v>58</v>
      </c>
      <c r="C323" s="22" t="s">
        <v>35</v>
      </c>
      <c r="D323" s="22" t="s">
        <v>35</v>
      </c>
      <c r="E323" s="23">
        <v>20</v>
      </c>
      <c r="F323" s="22" t="s">
        <v>87</v>
      </c>
      <c r="G323" s="26">
        <v>4</v>
      </c>
    </row>
    <row r="324" spans="1:7">
      <c r="A324" s="17">
        <v>46046</v>
      </c>
      <c r="B324" s="18" t="s">
        <v>58</v>
      </c>
      <c r="C324" s="18" t="s">
        <v>211</v>
      </c>
      <c r="D324" s="18" t="s">
        <v>86</v>
      </c>
      <c r="E324" s="19">
        <v>1400</v>
      </c>
      <c r="F324" s="18" t="s">
        <v>87</v>
      </c>
      <c r="G324" s="26">
        <v>4</v>
      </c>
    </row>
    <row r="325" spans="1:7">
      <c r="A325" s="21">
        <v>46046</v>
      </c>
      <c r="B325" s="22" t="s">
        <v>58</v>
      </c>
      <c r="C325" s="22" t="s">
        <v>212</v>
      </c>
      <c r="D325" s="22" t="s">
        <v>93</v>
      </c>
      <c r="E325" s="23">
        <v>50</v>
      </c>
      <c r="F325" s="22" t="s">
        <v>87</v>
      </c>
      <c r="G325" s="26">
        <v>4</v>
      </c>
    </row>
    <row r="326" spans="1:7">
      <c r="A326" s="17">
        <v>46046</v>
      </c>
      <c r="B326" s="18" t="s">
        <v>58</v>
      </c>
      <c r="C326" s="18" t="s">
        <v>213</v>
      </c>
      <c r="D326" s="18" t="s">
        <v>105</v>
      </c>
      <c r="E326" s="19">
        <v>400</v>
      </c>
      <c r="F326" s="18" t="s">
        <v>87</v>
      </c>
      <c r="G326" s="26">
        <v>4</v>
      </c>
    </row>
    <row r="327" spans="1:7">
      <c r="A327" s="17">
        <v>46046</v>
      </c>
      <c r="B327" s="18" t="s">
        <v>58</v>
      </c>
      <c r="C327" s="18" t="s">
        <v>214</v>
      </c>
      <c r="D327" s="18" t="s">
        <v>35</v>
      </c>
      <c r="E327" s="19">
        <v>50</v>
      </c>
      <c r="F327" s="18" t="s">
        <v>87</v>
      </c>
      <c r="G327" s="26">
        <v>4</v>
      </c>
    </row>
    <row r="328" spans="1:7">
      <c r="A328" s="17">
        <v>46046</v>
      </c>
      <c r="B328" s="18" t="s">
        <v>58</v>
      </c>
      <c r="C328" s="18" t="s">
        <v>215</v>
      </c>
      <c r="D328" s="18" t="s">
        <v>86</v>
      </c>
      <c r="E328" s="19">
        <v>1500</v>
      </c>
      <c r="F328" s="18" t="s">
        <v>87</v>
      </c>
      <c r="G328" s="26">
        <v>4</v>
      </c>
    </row>
    <row r="329" spans="1:7">
      <c r="A329" s="21">
        <v>46046</v>
      </c>
      <c r="B329" s="22" t="s">
        <v>58</v>
      </c>
      <c r="C329" s="22" t="s">
        <v>216</v>
      </c>
      <c r="D329" s="22" t="s">
        <v>105</v>
      </c>
      <c r="E329" s="23">
        <v>130</v>
      </c>
      <c r="F329" s="22" t="s">
        <v>87</v>
      </c>
      <c r="G329" s="26">
        <v>4</v>
      </c>
    </row>
    <row r="330" spans="1:7">
      <c r="A330" s="17">
        <v>46046</v>
      </c>
      <c r="B330" s="18" t="s">
        <v>58</v>
      </c>
      <c r="C330" s="18" t="s">
        <v>93</v>
      </c>
      <c r="D330" s="18" t="s">
        <v>93</v>
      </c>
      <c r="E330" s="19">
        <v>50</v>
      </c>
      <c r="F330" s="18" t="s">
        <v>87</v>
      </c>
      <c r="G330" s="26">
        <v>4</v>
      </c>
    </row>
    <row r="331" spans="1:7">
      <c r="A331" s="21">
        <v>46046</v>
      </c>
      <c r="B331" s="22" t="s">
        <v>58</v>
      </c>
      <c r="C331" s="22" t="s">
        <v>153</v>
      </c>
      <c r="D331" s="22" t="s">
        <v>35</v>
      </c>
      <c r="E331" s="23">
        <v>10</v>
      </c>
      <c r="F331" s="22" t="s">
        <v>87</v>
      </c>
      <c r="G331" s="26">
        <v>4</v>
      </c>
    </row>
    <row r="332" spans="1:7">
      <c r="A332" s="17">
        <v>46046</v>
      </c>
      <c r="B332" s="18" t="s">
        <v>58</v>
      </c>
      <c r="C332" s="18" t="s">
        <v>94</v>
      </c>
      <c r="D332" s="18" t="s">
        <v>95</v>
      </c>
      <c r="E332" s="19">
        <v>250</v>
      </c>
      <c r="F332" s="18" t="s">
        <v>87</v>
      </c>
      <c r="G332" s="26">
        <v>4</v>
      </c>
    </row>
    <row r="333" spans="1:7">
      <c r="A333" s="21">
        <v>46046</v>
      </c>
      <c r="B333" s="22" t="s">
        <v>58</v>
      </c>
      <c r="C333" s="22" t="s">
        <v>217</v>
      </c>
      <c r="D333" s="22" t="s">
        <v>86</v>
      </c>
      <c r="E333" s="23">
        <v>210</v>
      </c>
      <c r="F333" s="22" t="s">
        <v>87</v>
      </c>
      <c r="G333" s="26">
        <v>4</v>
      </c>
    </row>
    <row r="334" spans="1:7">
      <c r="A334" s="17">
        <v>46046</v>
      </c>
      <c r="B334" s="18" t="s">
        <v>58</v>
      </c>
      <c r="C334" s="18" t="s">
        <v>170</v>
      </c>
      <c r="D334" s="18" t="s">
        <v>35</v>
      </c>
      <c r="E334" s="19">
        <v>40</v>
      </c>
      <c r="F334" s="18" t="s">
        <v>87</v>
      </c>
      <c r="G334" s="26">
        <v>4</v>
      </c>
    </row>
    <row r="335" spans="1:7">
      <c r="A335" s="17">
        <v>46046</v>
      </c>
      <c r="B335" s="18" t="s">
        <v>58</v>
      </c>
      <c r="C335" s="18" t="s">
        <v>170</v>
      </c>
      <c r="D335" s="18" t="s">
        <v>35</v>
      </c>
      <c r="E335" s="19">
        <v>20</v>
      </c>
      <c r="F335" s="18" t="s">
        <v>87</v>
      </c>
      <c r="G335" s="26">
        <v>4</v>
      </c>
    </row>
    <row r="336" spans="1:7">
      <c r="A336" s="21">
        <v>46046</v>
      </c>
      <c r="B336" s="22" t="s">
        <v>58</v>
      </c>
      <c r="C336" s="22" t="s">
        <v>218</v>
      </c>
      <c r="D336" s="22" t="s">
        <v>35</v>
      </c>
      <c r="E336" s="23">
        <v>90</v>
      </c>
      <c r="F336" s="22" t="s">
        <v>87</v>
      </c>
      <c r="G336" s="26">
        <v>4</v>
      </c>
    </row>
    <row r="337" spans="1:7">
      <c r="A337" s="17">
        <v>46046</v>
      </c>
      <c r="B337" s="18" t="s">
        <v>58</v>
      </c>
      <c r="C337" s="18" t="s">
        <v>153</v>
      </c>
      <c r="D337" s="18" t="s">
        <v>35</v>
      </c>
      <c r="E337" s="19">
        <v>30</v>
      </c>
      <c r="F337" s="18" t="s">
        <v>87</v>
      </c>
      <c r="G337" s="26">
        <v>4</v>
      </c>
    </row>
    <row r="338" spans="1:7">
      <c r="A338" s="21">
        <v>46046</v>
      </c>
      <c r="B338" s="22" t="s">
        <v>58</v>
      </c>
      <c r="C338" s="22" t="s">
        <v>208</v>
      </c>
      <c r="D338" s="22" t="s">
        <v>86</v>
      </c>
      <c r="E338" s="23">
        <v>125</v>
      </c>
      <c r="F338" s="22" t="s">
        <v>87</v>
      </c>
      <c r="G338" s="26">
        <v>4</v>
      </c>
    </row>
    <row r="339" spans="1:7">
      <c r="A339" s="17">
        <v>46046</v>
      </c>
      <c r="B339" s="18" t="s">
        <v>58</v>
      </c>
      <c r="C339" s="18" t="s">
        <v>153</v>
      </c>
      <c r="D339" s="18" t="s">
        <v>35</v>
      </c>
      <c r="E339" s="19">
        <v>20</v>
      </c>
      <c r="F339" s="18" t="s">
        <v>87</v>
      </c>
      <c r="G339" s="26">
        <v>4</v>
      </c>
    </row>
    <row r="340" spans="1:7">
      <c r="A340" s="21">
        <v>46046</v>
      </c>
      <c r="B340" s="22" t="s">
        <v>58</v>
      </c>
      <c r="C340" s="22" t="s">
        <v>153</v>
      </c>
      <c r="D340" s="22" t="s">
        <v>35</v>
      </c>
      <c r="E340" s="23">
        <v>40</v>
      </c>
      <c r="F340" s="22" t="s">
        <v>87</v>
      </c>
      <c r="G340" s="26">
        <v>4</v>
      </c>
    </row>
    <row r="341" spans="1:7">
      <c r="A341" s="17">
        <v>46046</v>
      </c>
      <c r="B341" s="18" t="s">
        <v>58</v>
      </c>
      <c r="C341" s="18" t="s">
        <v>153</v>
      </c>
      <c r="D341" s="18" t="s">
        <v>35</v>
      </c>
      <c r="E341" s="19">
        <v>40</v>
      </c>
      <c r="F341" s="18" t="s">
        <v>87</v>
      </c>
      <c r="G341" s="26">
        <v>4</v>
      </c>
    </row>
    <row r="342" spans="1:7">
      <c r="A342" s="17">
        <v>46046</v>
      </c>
      <c r="B342" s="18" t="s">
        <v>58</v>
      </c>
      <c r="C342" s="18" t="s">
        <v>170</v>
      </c>
      <c r="D342" s="18" t="s">
        <v>35</v>
      </c>
      <c r="E342" s="19">
        <v>50</v>
      </c>
      <c r="F342" s="18" t="s">
        <v>87</v>
      </c>
      <c r="G342" s="26">
        <v>4</v>
      </c>
    </row>
    <row r="343" spans="1:7">
      <c r="A343" s="21">
        <v>46046</v>
      </c>
      <c r="B343" s="22" t="s">
        <v>58</v>
      </c>
      <c r="C343" s="22" t="s">
        <v>219</v>
      </c>
      <c r="D343" s="22" t="s">
        <v>48</v>
      </c>
      <c r="E343" s="23">
        <v>130</v>
      </c>
      <c r="F343" s="22" t="s">
        <v>87</v>
      </c>
      <c r="G343" s="26">
        <v>4</v>
      </c>
    </row>
    <row r="344" spans="1:7">
      <c r="A344" s="17">
        <v>46046</v>
      </c>
      <c r="B344" s="18" t="s">
        <v>58</v>
      </c>
      <c r="C344" s="18" t="s">
        <v>220</v>
      </c>
      <c r="D344" s="18" t="s">
        <v>105</v>
      </c>
      <c r="E344" s="19">
        <v>200</v>
      </c>
      <c r="F344" s="18" t="s">
        <v>87</v>
      </c>
      <c r="G344" s="26">
        <v>4</v>
      </c>
    </row>
    <row r="345" spans="1:7">
      <c r="A345" s="21">
        <v>46046</v>
      </c>
      <c r="B345" s="22" t="s">
        <v>58</v>
      </c>
      <c r="C345" s="22" t="s">
        <v>221</v>
      </c>
      <c r="D345" s="22" t="s">
        <v>105</v>
      </c>
      <c r="E345" s="23">
        <v>100</v>
      </c>
      <c r="F345" s="22" t="s">
        <v>87</v>
      </c>
      <c r="G345" s="26">
        <v>4</v>
      </c>
    </row>
    <row r="346" spans="1:7">
      <c r="A346" s="17">
        <v>46046</v>
      </c>
      <c r="B346" s="18" t="s">
        <v>58</v>
      </c>
      <c r="C346" s="18" t="s">
        <v>93</v>
      </c>
      <c r="D346" s="18" t="s">
        <v>93</v>
      </c>
      <c r="E346" s="19">
        <v>50</v>
      </c>
      <c r="F346" s="18" t="s">
        <v>87</v>
      </c>
      <c r="G346" s="26">
        <v>4</v>
      </c>
    </row>
    <row r="347" spans="1:7">
      <c r="A347" s="21">
        <v>46046</v>
      </c>
      <c r="B347" s="22" t="s">
        <v>58</v>
      </c>
      <c r="C347" s="22" t="s">
        <v>222</v>
      </c>
      <c r="D347" s="22" t="s">
        <v>86</v>
      </c>
      <c r="E347" s="23">
        <v>20</v>
      </c>
      <c r="F347" s="22" t="s">
        <v>87</v>
      </c>
      <c r="G347" s="26">
        <v>4</v>
      </c>
    </row>
    <row r="348" spans="1:7">
      <c r="A348" s="17">
        <v>46046</v>
      </c>
      <c r="B348" s="18" t="s">
        <v>58</v>
      </c>
      <c r="C348" s="18" t="s">
        <v>223</v>
      </c>
      <c r="D348" s="18" t="s">
        <v>105</v>
      </c>
      <c r="E348" s="19">
        <v>70</v>
      </c>
      <c r="F348" s="18" t="s">
        <v>87</v>
      </c>
      <c r="G348" s="26">
        <v>4</v>
      </c>
    </row>
    <row r="349" spans="1:7">
      <c r="A349" s="17">
        <v>46046</v>
      </c>
      <c r="B349" s="18" t="s">
        <v>58</v>
      </c>
      <c r="C349" s="18" t="s">
        <v>170</v>
      </c>
      <c r="D349" s="18" t="s">
        <v>35</v>
      </c>
      <c r="E349" s="19">
        <v>100</v>
      </c>
      <c r="F349" s="18" t="s">
        <v>87</v>
      </c>
      <c r="G349" s="26">
        <v>4</v>
      </c>
    </row>
    <row r="350" spans="1:7">
      <c r="A350" s="21">
        <v>46046</v>
      </c>
      <c r="B350" s="22" t="s">
        <v>58</v>
      </c>
      <c r="C350" s="22" t="s">
        <v>185</v>
      </c>
      <c r="D350" s="22" t="s">
        <v>124</v>
      </c>
      <c r="E350" s="23">
        <v>200</v>
      </c>
      <c r="F350" s="22" t="s">
        <v>87</v>
      </c>
      <c r="G350" s="26">
        <v>4</v>
      </c>
    </row>
    <row r="351" spans="1:7">
      <c r="A351" s="17">
        <v>46046</v>
      </c>
      <c r="B351" s="18" t="s">
        <v>58</v>
      </c>
      <c r="C351" s="18" t="s">
        <v>170</v>
      </c>
      <c r="D351" s="18" t="s">
        <v>35</v>
      </c>
      <c r="E351" s="19">
        <v>30</v>
      </c>
      <c r="F351" s="18" t="s">
        <v>87</v>
      </c>
      <c r="G351" s="26">
        <v>4</v>
      </c>
    </row>
    <row r="352" spans="1:7">
      <c r="A352" s="21">
        <v>46046</v>
      </c>
      <c r="B352" s="22" t="s">
        <v>58</v>
      </c>
      <c r="C352" s="22" t="s">
        <v>224</v>
      </c>
      <c r="D352" s="22" t="s">
        <v>86</v>
      </c>
      <c r="E352" s="23">
        <v>455</v>
      </c>
      <c r="F352" s="22" t="s">
        <v>87</v>
      </c>
      <c r="G352" s="26">
        <v>4</v>
      </c>
    </row>
    <row r="353" spans="1:7">
      <c r="A353" s="17">
        <v>46048</v>
      </c>
      <c r="B353" s="18" t="s">
        <v>37</v>
      </c>
      <c r="C353" s="18" t="s">
        <v>225</v>
      </c>
      <c r="D353" s="18" t="s">
        <v>93</v>
      </c>
      <c r="E353" s="19">
        <v>55</v>
      </c>
      <c r="F353" s="18" t="s">
        <v>87</v>
      </c>
      <c r="G353" s="26">
        <v>5</v>
      </c>
    </row>
    <row r="354" spans="1:7">
      <c r="A354" s="21">
        <v>46048</v>
      </c>
      <c r="B354" s="22" t="s">
        <v>37</v>
      </c>
      <c r="C354" s="22" t="s">
        <v>93</v>
      </c>
      <c r="D354" s="22" t="s">
        <v>93</v>
      </c>
      <c r="E354" s="23">
        <v>50</v>
      </c>
      <c r="F354" s="22" t="s">
        <v>87</v>
      </c>
      <c r="G354" s="26">
        <v>5</v>
      </c>
    </row>
    <row r="355" spans="1:7">
      <c r="A355" s="17">
        <v>46048</v>
      </c>
      <c r="B355" s="18" t="s">
        <v>37</v>
      </c>
      <c r="C355" s="18" t="s">
        <v>209</v>
      </c>
      <c r="D355" s="18" t="s">
        <v>105</v>
      </c>
      <c r="E355" s="19">
        <v>80</v>
      </c>
      <c r="F355" s="18" t="s">
        <v>87</v>
      </c>
      <c r="G355" s="26">
        <v>5</v>
      </c>
    </row>
    <row r="356" spans="1:7">
      <c r="A356" s="21">
        <v>46048</v>
      </c>
      <c r="B356" s="22" t="s">
        <v>37</v>
      </c>
      <c r="C356" s="22" t="s">
        <v>226</v>
      </c>
      <c r="D356" s="22" t="s">
        <v>105</v>
      </c>
      <c r="E356" s="23">
        <v>2190</v>
      </c>
      <c r="F356" s="22" t="s">
        <v>87</v>
      </c>
      <c r="G356" s="26">
        <v>5</v>
      </c>
    </row>
    <row r="357" spans="1:7">
      <c r="A357" s="21">
        <v>46048</v>
      </c>
      <c r="B357" s="22" t="s">
        <v>37</v>
      </c>
      <c r="C357" s="22" t="s">
        <v>122</v>
      </c>
      <c r="D357" s="22" t="s">
        <v>118</v>
      </c>
      <c r="E357" s="23">
        <v>200</v>
      </c>
      <c r="F357" s="22" t="s">
        <v>87</v>
      </c>
      <c r="G357" s="26">
        <v>5</v>
      </c>
    </row>
    <row r="358" spans="1:7">
      <c r="A358" s="17">
        <v>46048</v>
      </c>
      <c r="B358" s="18" t="s">
        <v>37</v>
      </c>
      <c r="C358" s="18" t="s">
        <v>170</v>
      </c>
      <c r="D358" s="18" t="s">
        <v>35</v>
      </c>
      <c r="E358" s="19">
        <v>50</v>
      </c>
      <c r="F358" s="18" t="s">
        <v>87</v>
      </c>
      <c r="G358" s="26">
        <v>5</v>
      </c>
    </row>
    <row r="359" spans="1:7">
      <c r="A359" s="21">
        <v>46048</v>
      </c>
      <c r="B359" s="22" t="s">
        <v>37</v>
      </c>
      <c r="C359" s="22" t="s">
        <v>94</v>
      </c>
      <c r="D359" s="22" t="s">
        <v>95</v>
      </c>
      <c r="E359" s="23">
        <v>250</v>
      </c>
      <c r="F359" s="22" t="s">
        <v>87</v>
      </c>
      <c r="G359" s="26">
        <v>5</v>
      </c>
    </row>
    <row r="360" spans="1:7">
      <c r="A360" s="17">
        <v>46048</v>
      </c>
      <c r="B360" s="18" t="s">
        <v>37</v>
      </c>
      <c r="C360" s="18" t="s">
        <v>170</v>
      </c>
      <c r="D360" s="18" t="s">
        <v>35</v>
      </c>
      <c r="E360" s="19">
        <v>50</v>
      </c>
      <c r="F360" s="18" t="s">
        <v>87</v>
      </c>
      <c r="G360" s="26">
        <v>5</v>
      </c>
    </row>
    <row r="361" spans="1:7">
      <c r="A361" s="21">
        <v>46048</v>
      </c>
      <c r="B361" s="22" t="s">
        <v>37</v>
      </c>
      <c r="C361" s="22" t="s">
        <v>227</v>
      </c>
      <c r="D361" s="22" t="s">
        <v>86</v>
      </c>
      <c r="E361" s="23">
        <v>135</v>
      </c>
      <c r="F361" s="22" t="s">
        <v>87</v>
      </c>
      <c r="G361" s="26">
        <v>5</v>
      </c>
    </row>
    <row r="362" spans="1:7">
      <c r="A362" s="17">
        <v>46048</v>
      </c>
      <c r="B362" s="18" t="s">
        <v>37</v>
      </c>
      <c r="C362" s="18" t="s">
        <v>228</v>
      </c>
      <c r="D362" s="18" t="s">
        <v>86</v>
      </c>
      <c r="E362" s="19">
        <v>40</v>
      </c>
      <c r="F362" s="18" t="s">
        <v>87</v>
      </c>
      <c r="G362" s="26">
        <v>5</v>
      </c>
    </row>
    <row r="363" spans="1:7">
      <c r="A363" s="21">
        <v>46048</v>
      </c>
      <c r="B363" s="22" t="s">
        <v>37</v>
      </c>
      <c r="C363" s="22" t="s">
        <v>170</v>
      </c>
      <c r="D363" s="22" t="s">
        <v>35</v>
      </c>
      <c r="E363" s="23">
        <v>20</v>
      </c>
      <c r="F363" s="22" t="s">
        <v>87</v>
      </c>
      <c r="G363" s="26">
        <v>5</v>
      </c>
    </row>
    <row r="364" spans="1:7">
      <c r="A364" s="17">
        <v>46048</v>
      </c>
      <c r="B364" s="18" t="s">
        <v>37</v>
      </c>
      <c r="C364" s="18" t="s">
        <v>170</v>
      </c>
      <c r="D364" s="18" t="s">
        <v>35</v>
      </c>
      <c r="E364" s="19">
        <v>160</v>
      </c>
      <c r="F364" s="18" t="s">
        <v>87</v>
      </c>
      <c r="G364" s="26">
        <v>5</v>
      </c>
    </row>
    <row r="365" spans="1:7">
      <c r="A365" s="21">
        <v>46048</v>
      </c>
      <c r="B365" s="22" t="s">
        <v>37</v>
      </c>
      <c r="C365" s="22" t="s">
        <v>170</v>
      </c>
      <c r="D365" s="22" t="s">
        <v>35</v>
      </c>
      <c r="E365" s="23">
        <v>50</v>
      </c>
      <c r="F365" s="22" t="s">
        <v>87</v>
      </c>
      <c r="G365" s="26">
        <v>5</v>
      </c>
    </row>
    <row r="366" spans="1:7">
      <c r="A366" s="17">
        <v>46048</v>
      </c>
      <c r="B366" s="18" t="s">
        <v>37</v>
      </c>
      <c r="C366" s="18" t="s">
        <v>195</v>
      </c>
      <c r="D366" s="18" t="s">
        <v>124</v>
      </c>
      <c r="E366" s="19">
        <v>550</v>
      </c>
      <c r="F366" s="18" t="s">
        <v>87</v>
      </c>
      <c r="G366" s="26">
        <v>5</v>
      </c>
    </row>
    <row r="367" spans="1:7">
      <c r="A367" s="21">
        <v>46048</v>
      </c>
      <c r="B367" s="22" t="s">
        <v>37</v>
      </c>
      <c r="C367" s="22" t="s">
        <v>153</v>
      </c>
      <c r="D367" s="22" t="s">
        <v>35</v>
      </c>
      <c r="E367" s="23">
        <v>20</v>
      </c>
      <c r="F367" s="22" t="s">
        <v>87</v>
      </c>
      <c r="G367" s="26">
        <v>5</v>
      </c>
    </row>
    <row r="368" spans="1:7">
      <c r="A368" s="17">
        <v>46048</v>
      </c>
      <c r="B368" s="18" t="s">
        <v>37</v>
      </c>
      <c r="C368" s="18" t="s">
        <v>229</v>
      </c>
      <c r="D368" s="18" t="s">
        <v>35</v>
      </c>
      <c r="E368" s="19">
        <v>100</v>
      </c>
      <c r="F368" s="18" t="s">
        <v>87</v>
      </c>
      <c r="G368" s="26">
        <v>5</v>
      </c>
    </row>
    <row r="369" spans="1:7">
      <c r="A369" s="21">
        <v>46048</v>
      </c>
      <c r="B369" s="22" t="s">
        <v>37</v>
      </c>
      <c r="C369" s="22" t="s">
        <v>93</v>
      </c>
      <c r="D369" s="22" t="s">
        <v>93</v>
      </c>
      <c r="E369" s="23">
        <v>50</v>
      </c>
      <c r="F369" s="22" t="s">
        <v>87</v>
      </c>
      <c r="G369" s="26">
        <v>5</v>
      </c>
    </row>
    <row r="370" spans="1:7">
      <c r="A370" s="17">
        <v>46048</v>
      </c>
      <c r="B370" s="18" t="s">
        <v>37</v>
      </c>
      <c r="C370" s="18" t="s">
        <v>230</v>
      </c>
      <c r="D370" s="18" t="s">
        <v>99</v>
      </c>
      <c r="E370" s="19">
        <v>20</v>
      </c>
      <c r="F370" s="18" t="s">
        <v>87</v>
      </c>
      <c r="G370" s="26">
        <v>5</v>
      </c>
    </row>
    <row r="371" spans="1:7">
      <c r="A371" s="21">
        <v>46048</v>
      </c>
      <c r="B371" s="22" t="s">
        <v>37</v>
      </c>
      <c r="C371" s="22" t="s">
        <v>194</v>
      </c>
      <c r="D371" s="22" t="s">
        <v>86</v>
      </c>
      <c r="E371" s="23">
        <v>200</v>
      </c>
      <c r="F371" s="22" t="s">
        <v>87</v>
      </c>
      <c r="G371" s="26">
        <v>5</v>
      </c>
    </row>
    <row r="372" spans="1:7">
      <c r="A372" s="17">
        <v>46048</v>
      </c>
      <c r="B372" s="18" t="s">
        <v>37</v>
      </c>
      <c r="C372" s="18" t="s">
        <v>231</v>
      </c>
      <c r="D372" s="18" t="s">
        <v>105</v>
      </c>
      <c r="E372" s="19">
        <v>80</v>
      </c>
      <c r="F372" s="18" t="s">
        <v>87</v>
      </c>
      <c r="G372" s="26">
        <v>5</v>
      </c>
    </row>
    <row r="373" spans="1:7">
      <c r="A373" s="21">
        <v>46048</v>
      </c>
      <c r="B373" s="22" t="s">
        <v>37</v>
      </c>
      <c r="C373" s="22" t="s">
        <v>229</v>
      </c>
      <c r="D373" s="22" t="s">
        <v>35</v>
      </c>
      <c r="E373" s="23">
        <v>265</v>
      </c>
      <c r="F373" s="22" t="s">
        <v>87</v>
      </c>
      <c r="G373" s="26">
        <v>5</v>
      </c>
    </row>
    <row r="374" spans="1:7">
      <c r="A374" s="17">
        <v>46048</v>
      </c>
      <c r="B374" s="18" t="s">
        <v>37</v>
      </c>
      <c r="C374" s="18" t="s">
        <v>127</v>
      </c>
      <c r="D374" s="18" t="s">
        <v>86</v>
      </c>
      <c r="E374" s="19">
        <v>10</v>
      </c>
      <c r="F374" s="18" t="s">
        <v>87</v>
      </c>
      <c r="G374" s="26">
        <v>5</v>
      </c>
    </row>
    <row r="375" spans="1:7">
      <c r="A375" s="21">
        <v>46048</v>
      </c>
      <c r="B375" s="22" t="s">
        <v>37</v>
      </c>
      <c r="C375" s="22" t="s">
        <v>88</v>
      </c>
      <c r="D375" s="22" t="s">
        <v>86</v>
      </c>
      <c r="E375" s="23">
        <v>25</v>
      </c>
      <c r="F375" s="22" t="s">
        <v>87</v>
      </c>
      <c r="G375" s="26">
        <v>5</v>
      </c>
    </row>
    <row r="376" spans="1:7">
      <c r="A376" s="17">
        <v>46048</v>
      </c>
      <c r="B376" s="18" t="s">
        <v>37</v>
      </c>
      <c r="C376" s="18" t="s">
        <v>93</v>
      </c>
      <c r="D376" s="18" t="s">
        <v>93</v>
      </c>
      <c r="E376" s="19">
        <v>50</v>
      </c>
      <c r="F376" s="18" t="s">
        <v>87</v>
      </c>
      <c r="G376" s="26">
        <v>5</v>
      </c>
    </row>
    <row r="377" spans="1:7">
      <c r="A377" s="21">
        <v>46048</v>
      </c>
      <c r="B377" s="22" t="s">
        <v>37</v>
      </c>
      <c r="C377" s="22" t="s">
        <v>71</v>
      </c>
      <c r="D377" s="22" t="s">
        <v>71</v>
      </c>
      <c r="E377" s="23">
        <v>120</v>
      </c>
      <c r="F377" s="22" t="s">
        <v>87</v>
      </c>
      <c r="G377" s="26">
        <v>5</v>
      </c>
    </row>
    <row r="378" spans="1:7">
      <c r="A378" s="17">
        <v>46048</v>
      </c>
      <c r="B378" s="18" t="s">
        <v>37</v>
      </c>
      <c r="C378" s="18" t="s">
        <v>153</v>
      </c>
      <c r="D378" s="18" t="s">
        <v>35</v>
      </c>
      <c r="E378" s="19">
        <v>60</v>
      </c>
      <c r="F378" s="18" t="s">
        <v>87</v>
      </c>
      <c r="G378" s="26">
        <v>5</v>
      </c>
    </row>
    <row r="379" spans="1:7">
      <c r="A379" s="21">
        <v>46048</v>
      </c>
      <c r="B379" s="22" t="s">
        <v>37</v>
      </c>
      <c r="C379" s="22" t="s">
        <v>93</v>
      </c>
      <c r="D379" s="22" t="s">
        <v>93</v>
      </c>
      <c r="E379" s="23">
        <v>50</v>
      </c>
      <c r="F379" s="22" t="s">
        <v>87</v>
      </c>
      <c r="G379" s="26">
        <v>5</v>
      </c>
    </row>
    <row r="380" spans="1:7">
      <c r="A380" s="17">
        <v>46048</v>
      </c>
      <c r="B380" s="18" t="s">
        <v>37</v>
      </c>
      <c r="C380" s="18" t="s">
        <v>88</v>
      </c>
      <c r="D380" s="18" t="s">
        <v>86</v>
      </c>
      <c r="E380" s="19">
        <v>40</v>
      </c>
      <c r="F380" s="18" t="s">
        <v>87</v>
      </c>
      <c r="G380" s="26">
        <v>5</v>
      </c>
    </row>
    <row r="381" spans="1:7">
      <c r="A381" s="17">
        <v>46048</v>
      </c>
      <c r="B381" s="18" t="s">
        <v>37</v>
      </c>
      <c r="C381" s="18" t="s">
        <v>232</v>
      </c>
      <c r="D381" s="18" t="s">
        <v>35</v>
      </c>
      <c r="E381" s="19">
        <v>10</v>
      </c>
      <c r="F381" s="18" t="s">
        <v>87</v>
      </c>
      <c r="G381" s="26">
        <v>5</v>
      </c>
    </row>
    <row r="382" spans="1:7">
      <c r="A382" s="21">
        <v>46048</v>
      </c>
      <c r="B382" s="22" t="s">
        <v>37</v>
      </c>
      <c r="C382" s="22" t="s">
        <v>93</v>
      </c>
      <c r="D382" s="22" t="s">
        <v>93</v>
      </c>
      <c r="E382" s="23">
        <v>50</v>
      </c>
      <c r="F382" s="22" t="s">
        <v>87</v>
      </c>
      <c r="G382" s="26">
        <v>5</v>
      </c>
    </row>
    <row r="383" spans="1:7">
      <c r="A383" s="17">
        <v>46048</v>
      </c>
      <c r="B383" s="18" t="s">
        <v>37</v>
      </c>
      <c r="C383" s="18" t="s">
        <v>185</v>
      </c>
      <c r="D383" s="18" t="s">
        <v>124</v>
      </c>
      <c r="E383" s="19">
        <v>500</v>
      </c>
      <c r="F383" s="18" t="s">
        <v>87</v>
      </c>
      <c r="G383" s="26">
        <v>5</v>
      </c>
    </row>
    <row r="384" spans="1:7">
      <c r="A384" s="21">
        <v>46048</v>
      </c>
      <c r="B384" s="22" t="s">
        <v>37</v>
      </c>
      <c r="C384" s="22" t="s">
        <v>88</v>
      </c>
      <c r="D384" s="22" t="s">
        <v>86</v>
      </c>
      <c r="E384" s="23">
        <v>40</v>
      </c>
      <c r="F384" s="22" t="s">
        <v>87</v>
      </c>
      <c r="G384" s="26">
        <v>5</v>
      </c>
    </row>
    <row r="385" spans="1:7">
      <c r="A385" s="17">
        <v>46048</v>
      </c>
      <c r="B385" s="18" t="s">
        <v>37</v>
      </c>
      <c r="C385" s="18" t="s">
        <v>93</v>
      </c>
      <c r="D385" s="18" t="s">
        <v>93</v>
      </c>
      <c r="E385" s="19">
        <v>50</v>
      </c>
      <c r="F385" s="18" t="s">
        <v>87</v>
      </c>
      <c r="G385" s="26">
        <v>5</v>
      </c>
    </row>
    <row r="386" spans="1:7">
      <c r="A386" s="17">
        <v>46048</v>
      </c>
      <c r="B386" s="18" t="s">
        <v>37</v>
      </c>
      <c r="C386" s="18" t="s">
        <v>121</v>
      </c>
      <c r="D386" s="18" t="s">
        <v>86</v>
      </c>
      <c r="E386" s="19">
        <v>5</v>
      </c>
      <c r="F386" s="18" t="s">
        <v>87</v>
      </c>
      <c r="G386" s="26">
        <v>5</v>
      </c>
    </row>
    <row r="387" spans="1:7">
      <c r="A387" s="21">
        <v>46048</v>
      </c>
      <c r="B387" s="22" t="s">
        <v>37</v>
      </c>
      <c r="C387" s="22" t="s">
        <v>168</v>
      </c>
      <c r="D387" s="22" t="s">
        <v>107</v>
      </c>
      <c r="E387" s="23">
        <v>100</v>
      </c>
      <c r="F387" s="22" t="s">
        <v>87</v>
      </c>
      <c r="G387" s="26">
        <v>5</v>
      </c>
    </row>
    <row r="388" spans="1:7">
      <c r="A388" s="17">
        <v>46048</v>
      </c>
      <c r="B388" s="18" t="s">
        <v>37</v>
      </c>
      <c r="C388" s="18" t="s">
        <v>35</v>
      </c>
      <c r="D388" s="18" t="s">
        <v>35</v>
      </c>
      <c r="E388" s="19">
        <v>30</v>
      </c>
      <c r="F388" s="18" t="s">
        <v>87</v>
      </c>
      <c r="G388" s="26">
        <v>5</v>
      </c>
    </row>
    <row r="389" spans="1:7">
      <c r="A389" s="17">
        <v>46048</v>
      </c>
      <c r="B389" s="18" t="s">
        <v>37</v>
      </c>
      <c r="C389" s="18" t="s">
        <v>170</v>
      </c>
      <c r="D389" s="18" t="s">
        <v>35</v>
      </c>
      <c r="E389" s="19">
        <v>20</v>
      </c>
      <c r="F389" s="18" t="s">
        <v>87</v>
      </c>
      <c r="G389" s="26">
        <v>5</v>
      </c>
    </row>
    <row r="390" spans="1:7">
      <c r="A390" s="21">
        <v>46048</v>
      </c>
      <c r="B390" s="22" t="s">
        <v>37</v>
      </c>
      <c r="C390" s="22" t="s">
        <v>233</v>
      </c>
      <c r="D390" s="22" t="s">
        <v>35</v>
      </c>
      <c r="E390" s="23">
        <v>40</v>
      </c>
      <c r="F390" s="22" t="s">
        <v>87</v>
      </c>
      <c r="G390" s="26">
        <v>5</v>
      </c>
    </row>
    <row r="391" spans="1:7">
      <c r="A391" s="17">
        <v>46048</v>
      </c>
      <c r="B391" s="18" t="s">
        <v>37</v>
      </c>
      <c r="C391" s="18" t="s">
        <v>35</v>
      </c>
      <c r="D391" s="18" t="s">
        <v>35</v>
      </c>
      <c r="E391" s="19">
        <v>20</v>
      </c>
      <c r="F391" s="18" t="s">
        <v>87</v>
      </c>
      <c r="G391" s="26">
        <v>5</v>
      </c>
    </row>
    <row r="392" spans="1:7">
      <c r="A392" s="21">
        <v>46048</v>
      </c>
      <c r="B392" s="22" t="s">
        <v>37</v>
      </c>
      <c r="C392" s="22" t="s">
        <v>234</v>
      </c>
      <c r="D392" s="22" t="s">
        <v>86</v>
      </c>
      <c r="E392" s="23">
        <v>15</v>
      </c>
      <c r="F392" s="22" t="s">
        <v>87</v>
      </c>
      <c r="G392" s="26">
        <v>5</v>
      </c>
    </row>
    <row r="393" spans="1:7">
      <c r="A393" s="17">
        <v>46048</v>
      </c>
      <c r="B393" s="18" t="s">
        <v>37</v>
      </c>
      <c r="C393" s="18" t="s">
        <v>35</v>
      </c>
      <c r="D393" s="18" t="s">
        <v>35</v>
      </c>
      <c r="E393" s="19">
        <v>60</v>
      </c>
      <c r="F393" s="18" t="s">
        <v>87</v>
      </c>
      <c r="G393" s="26">
        <v>5</v>
      </c>
    </row>
    <row r="394" spans="1:7">
      <c r="A394" s="21">
        <v>46048</v>
      </c>
      <c r="B394" s="22" t="s">
        <v>37</v>
      </c>
      <c r="C394" s="22" t="s">
        <v>35</v>
      </c>
      <c r="D394" s="22" t="s">
        <v>35</v>
      </c>
      <c r="E394" s="23">
        <v>40</v>
      </c>
      <c r="F394" s="22" t="s">
        <v>87</v>
      </c>
      <c r="G394" s="26">
        <v>5</v>
      </c>
    </row>
    <row r="395" spans="1:7">
      <c r="A395" s="17">
        <v>46048</v>
      </c>
      <c r="B395" s="18" t="s">
        <v>37</v>
      </c>
      <c r="C395" s="18" t="s">
        <v>181</v>
      </c>
      <c r="D395" s="18" t="s">
        <v>35</v>
      </c>
      <c r="E395" s="19">
        <v>20</v>
      </c>
      <c r="F395" s="18" t="s">
        <v>87</v>
      </c>
      <c r="G395" s="26">
        <v>5</v>
      </c>
    </row>
    <row r="396" spans="1:7">
      <c r="A396" s="17">
        <v>46048</v>
      </c>
      <c r="B396" s="18" t="s">
        <v>37</v>
      </c>
      <c r="C396" s="18" t="s">
        <v>47</v>
      </c>
      <c r="D396" s="18" t="s">
        <v>48</v>
      </c>
      <c r="E396" s="19">
        <v>40</v>
      </c>
      <c r="F396" s="18" t="s">
        <v>87</v>
      </c>
      <c r="G396" s="26">
        <v>5</v>
      </c>
    </row>
    <row r="397" spans="1:7">
      <c r="A397" s="21">
        <v>46048</v>
      </c>
      <c r="B397" s="22" t="s">
        <v>37</v>
      </c>
      <c r="C397" s="22" t="s">
        <v>234</v>
      </c>
      <c r="D397" s="22" t="s">
        <v>86</v>
      </c>
      <c r="E397" s="23">
        <v>5</v>
      </c>
      <c r="F397" s="22" t="s">
        <v>87</v>
      </c>
      <c r="G397" s="26">
        <v>5</v>
      </c>
    </row>
    <row r="398" spans="1:7">
      <c r="A398" s="17">
        <v>46048</v>
      </c>
      <c r="B398" s="18" t="s">
        <v>37</v>
      </c>
      <c r="C398" s="18" t="s">
        <v>235</v>
      </c>
      <c r="D398" s="18" t="s">
        <v>71</v>
      </c>
      <c r="E398" s="19">
        <v>150</v>
      </c>
      <c r="F398" s="18" t="s">
        <v>87</v>
      </c>
      <c r="G398" s="26">
        <v>5</v>
      </c>
    </row>
    <row r="399" spans="1:7">
      <c r="A399" s="21">
        <v>46048</v>
      </c>
      <c r="B399" s="22" t="s">
        <v>37</v>
      </c>
      <c r="C399" s="22" t="s">
        <v>234</v>
      </c>
      <c r="D399" s="22" t="s">
        <v>86</v>
      </c>
      <c r="E399" s="23">
        <v>5</v>
      </c>
      <c r="F399" s="22" t="s">
        <v>87</v>
      </c>
      <c r="G399" s="26">
        <v>5</v>
      </c>
    </row>
    <row r="400" spans="1:7">
      <c r="A400" s="17">
        <v>46048</v>
      </c>
      <c r="B400" s="18" t="s">
        <v>37</v>
      </c>
      <c r="C400" s="18" t="s">
        <v>236</v>
      </c>
      <c r="D400" s="18" t="s">
        <v>35</v>
      </c>
      <c r="E400" s="19">
        <v>160</v>
      </c>
      <c r="F400" s="18" t="s">
        <v>87</v>
      </c>
      <c r="G400" s="26">
        <v>5</v>
      </c>
    </row>
    <row r="401" spans="1:7">
      <c r="A401" s="21">
        <v>46048</v>
      </c>
      <c r="B401" s="22" t="s">
        <v>37</v>
      </c>
      <c r="C401" s="22" t="s">
        <v>91</v>
      </c>
      <c r="D401" s="22" t="s">
        <v>91</v>
      </c>
      <c r="E401" s="23">
        <v>160</v>
      </c>
      <c r="F401" s="22" t="s">
        <v>87</v>
      </c>
      <c r="G401" s="26">
        <v>5</v>
      </c>
    </row>
    <row r="402" spans="1:7">
      <c r="A402" s="17">
        <v>46048</v>
      </c>
      <c r="B402" s="18" t="s">
        <v>37</v>
      </c>
      <c r="C402" s="18" t="s">
        <v>93</v>
      </c>
      <c r="D402" s="18" t="s">
        <v>93</v>
      </c>
      <c r="E402" s="19">
        <v>50</v>
      </c>
      <c r="F402" s="18" t="s">
        <v>87</v>
      </c>
      <c r="G402" s="26">
        <v>5</v>
      </c>
    </row>
    <row r="403" spans="1:7">
      <c r="A403" s="21">
        <v>46048</v>
      </c>
      <c r="B403" s="22" t="s">
        <v>37</v>
      </c>
      <c r="C403" s="22" t="s">
        <v>237</v>
      </c>
      <c r="D403" s="22" t="s">
        <v>35</v>
      </c>
      <c r="E403" s="23">
        <v>60</v>
      </c>
      <c r="F403" s="22" t="s">
        <v>87</v>
      </c>
      <c r="G403" s="26">
        <v>5</v>
      </c>
    </row>
    <row r="404" spans="1:7">
      <c r="A404" s="17">
        <v>46048</v>
      </c>
      <c r="B404" s="18" t="s">
        <v>37</v>
      </c>
      <c r="C404" s="18" t="s">
        <v>35</v>
      </c>
      <c r="D404" s="18" t="s">
        <v>35</v>
      </c>
      <c r="E404" s="19">
        <v>10</v>
      </c>
      <c r="F404" s="18" t="s">
        <v>87</v>
      </c>
      <c r="G404" s="26">
        <v>5</v>
      </c>
    </row>
    <row r="405" spans="1:7">
      <c r="A405" s="21">
        <v>46048</v>
      </c>
      <c r="B405" s="22" t="s">
        <v>37</v>
      </c>
      <c r="C405" s="22" t="s">
        <v>35</v>
      </c>
      <c r="D405" s="22" t="s">
        <v>35</v>
      </c>
      <c r="E405" s="23">
        <v>30</v>
      </c>
      <c r="F405" s="22" t="s">
        <v>87</v>
      </c>
      <c r="G405" s="26">
        <v>5</v>
      </c>
    </row>
    <row r="406" spans="1:7">
      <c r="A406" s="17">
        <v>46048</v>
      </c>
      <c r="B406" s="18" t="s">
        <v>37</v>
      </c>
      <c r="C406" s="18" t="s">
        <v>35</v>
      </c>
      <c r="D406" s="18" t="s">
        <v>35</v>
      </c>
      <c r="E406" s="19">
        <v>10</v>
      </c>
      <c r="F406" s="18" t="s">
        <v>87</v>
      </c>
      <c r="G406" s="26">
        <v>5</v>
      </c>
    </row>
    <row r="407" spans="1:7">
      <c r="A407" s="21">
        <v>46048</v>
      </c>
      <c r="B407" s="22" t="s">
        <v>37</v>
      </c>
      <c r="C407" s="22" t="s">
        <v>238</v>
      </c>
      <c r="D407" s="22" t="s">
        <v>99</v>
      </c>
      <c r="E407" s="23">
        <v>10</v>
      </c>
      <c r="F407" s="22" t="s">
        <v>87</v>
      </c>
      <c r="G407" s="26">
        <v>5</v>
      </c>
    </row>
    <row r="408" spans="1:7">
      <c r="A408" s="21">
        <v>46048</v>
      </c>
      <c r="B408" s="22" t="s">
        <v>37</v>
      </c>
      <c r="C408" s="22" t="s">
        <v>239</v>
      </c>
      <c r="D408" s="22" t="s">
        <v>107</v>
      </c>
      <c r="E408" s="23">
        <v>650</v>
      </c>
      <c r="F408" s="22" t="s">
        <v>87</v>
      </c>
      <c r="G408" s="26">
        <v>5</v>
      </c>
    </row>
    <row r="409" spans="1:7">
      <c r="A409" s="21">
        <v>46049</v>
      </c>
      <c r="B409" s="22" t="s">
        <v>41</v>
      </c>
      <c r="C409" s="22" t="s">
        <v>240</v>
      </c>
      <c r="D409" s="22" t="s">
        <v>86</v>
      </c>
      <c r="E409" s="23">
        <v>100</v>
      </c>
      <c r="F409" s="22" t="s">
        <v>87</v>
      </c>
      <c r="G409" s="26">
        <v>5</v>
      </c>
    </row>
    <row r="410" spans="1:7">
      <c r="A410" s="17">
        <v>46049</v>
      </c>
      <c r="B410" s="18" t="s">
        <v>41</v>
      </c>
      <c r="C410" s="18" t="s">
        <v>35</v>
      </c>
      <c r="D410" s="18" t="s">
        <v>35</v>
      </c>
      <c r="E410" s="19">
        <v>10</v>
      </c>
      <c r="F410" s="18" t="s">
        <v>87</v>
      </c>
      <c r="G410" s="26">
        <v>5</v>
      </c>
    </row>
    <row r="411" spans="1:7">
      <c r="A411" s="21">
        <v>46049</v>
      </c>
      <c r="B411" s="22" t="s">
        <v>41</v>
      </c>
      <c r="C411" s="22" t="s">
        <v>35</v>
      </c>
      <c r="D411" s="22" t="s">
        <v>35</v>
      </c>
      <c r="E411" s="23">
        <v>10</v>
      </c>
      <c r="F411" s="22" t="s">
        <v>87</v>
      </c>
      <c r="G411" s="26">
        <v>5</v>
      </c>
    </row>
    <row r="412" spans="1:7">
      <c r="A412" s="17">
        <v>46049</v>
      </c>
      <c r="B412" s="18" t="s">
        <v>41</v>
      </c>
      <c r="C412" s="18" t="s">
        <v>35</v>
      </c>
      <c r="D412" s="18" t="s">
        <v>35</v>
      </c>
      <c r="E412" s="19">
        <v>40</v>
      </c>
      <c r="F412" s="18" t="s">
        <v>87</v>
      </c>
      <c r="G412" s="26">
        <v>5</v>
      </c>
    </row>
    <row r="413" spans="1:7">
      <c r="A413" s="21">
        <v>46049</v>
      </c>
      <c r="B413" s="22" t="s">
        <v>41</v>
      </c>
      <c r="C413" s="22" t="s">
        <v>241</v>
      </c>
      <c r="D413" s="22" t="s">
        <v>35</v>
      </c>
      <c r="E413" s="23">
        <v>50</v>
      </c>
      <c r="F413" s="22" t="s">
        <v>87</v>
      </c>
      <c r="G413" s="26">
        <v>5</v>
      </c>
    </row>
    <row r="414" spans="1:7">
      <c r="A414" s="17">
        <v>46049</v>
      </c>
      <c r="B414" s="18" t="s">
        <v>41</v>
      </c>
      <c r="C414" s="18" t="s">
        <v>93</v>
      </c>
      <c r="D414" s="18" t="s">
        <v>93</v>
      </c>
      <c r="E414" s="19">
        <v>10</v>
      </c>
      <c r="F414" s="18" t="s">
        <v>87</v>
      </c>
      <c r="G414" s="26">
        <v>5</v>
      </c>
    </row>
    <row r="415" spans="1:7">
      <c r="A415" s="21">
        <v>46049</v>
      </c>
      <c r="B415" s="22" t="s">
        <v>41</v>
      </c>
      <c r="C415" s="22" t="s">
        <v>153</v>
      </c>
      <c r="D415" s="22" t="s">
        <v>35</v>
      </c>
      <c r="E415" s="23">
        <v>50</v>
      </c>
      <c r="F415" s="22" t="s">
        <v>87</v>
      </c>
      <c r="G415" s="26">
        <v>5</v>
      </c>
    </row>
    <row r="416" spans="1:7">
      <c r="A416" s="17">
        <v>46049</v>
      </c>
      <c r="B416" s="18" t="s">
        <v>41</v>
      </c>
      <c r="C416" s="18" t="s">
        <v>93</v>
      </c>
      <c r="D416" s="18" t="s">
        <v>93</v>
      </c>
      <c r="E416" s="19">
        <v>10</v>
      </c>
      <c r="F416" s="18" t="s">
        <v>87</v>
      </c>
      <c r="G416" s="26">
        <v>5</v>
      </c>
    </row>
    <row r="417" spans="1:7">
      <c r="A417" s="21">
        <v>46049</v>
      </c>
      <c r="B417" s="22" t="s">
        <v>41</v>
      </c>
      <c r="C417" s="22" t="s">
        <v>121</v>
      </c>
      <c r="D417" s="22" t="s">
        <v>86</v>
      </c>
      <c r="E417" s="23">
        <v>5</v>
      </c>
      <c r="F417" s="22" t="s">
        <v>87</v>
      </c>
      <c r="G417" s="26">
        <v>5</v>
      </c>
    </row>
    <row r="418" spans="1:7">
      <c r="A418" s="17">
        <v>46049</v>
      </c>
      <c r="B418" s="18" t="s">
        <v>41</v>
      </c>
      <c r="C418" s="18" t="s">
        <v>242</v>
      </c>
      <c r="D418" s="18" t="s">
        <v>35</v>
      </c>
      <c r="E418" s="19">
        <v>100</v>
      </c>
      <c r="F418" s="18" t="s">
        <v>87</v>
      </c>
      <c r="G418" s="26">
        <v>5</v>
      </c>
    </row>
    <row r="419" spans="1:7">
      <c r="A419" s="21">
        <v>46049</v>
      </c>
      <c r="B419" s="22" t="s">
        <v>41</v>
      </c>
      <c r="C419" s="22" t="s">
        <v>35</v>
      </c>
      <c r="D419" s="22" t="s">
        <v>35</v>
      </c>
      <c r="E419" s="23">
        <v>30</v>
      </c>
      <c r="F419" s="22" t="s">
        <v>87</v>
      </c>
      <c r="G419" s="26">
        <v>5</v>
      </c>
    </row>
    <row r="420" spans="1:7">
      <c r="A420" s="17">
        <v>46049</v>
      </c>
      <c r="B420" s="18" t="s">
        <v>41</v>
      </c>
      <c r="C420" s="18" t="s">
        <v>35</v>
      </c>
      <c r="D420" s="18" t="s">
        <v>35</v>
      </c>
      <c r="E420" s="19">
        <v>230</v>
      </c>
      <c r="F420" s="18" t="s">
        <v>87</v>
      </c>
      <c r="G420" s="26">
        <v>5</v>
      </c>
    </row>
    <row r="421" spans="1:7">
      <c r="A421" s="21">
        <v>46049</v>
      </c>
      <c r="B421" s="22" t="s">
        <v>41</v>
      </c>
      <c r="C421" s="22" t="s">
        <v>35</v>
      </c>
      <c r="D421" s="22" t="s">
        <v>35</v>
      </c>
      <c r="E421" s="23">
        <v>20</v>
      </c>
      <c r="F421" s="22" t="s">
        <v>87</v>
      </c>
      <c r="G421" s="26">
        <v>5</v>
      </c>
    </row>
    <row r="422" spans="1:7">
      <c r="A422" s="17">
        <v>46049</v>
      </c>
      <c r="B422" s="18" t="s">
        <v>41</v>
      </c>
      <c r="C422" s="18" t="s">
        <v>35</v>
      </c>
      <c r="D422" s="18" t="s">
        <v>35</v>
      </c>
      <c r="E422" s="19">
        <v>20</v>
      </c>
      <c r="F422" s="18" t="s">
        <v>87</v>
      </c>
      <c r="G422" s="26">
        <v>5</v>
      </c>
    </row>
    <row r="423" spans="1:7">
      <c r="A423" s="21">
        <v>46049</v>
      </c>
      <c r="B423" s="22" t="s">
        <v>41</v>
      </c>
      <c r="C423" s="22" t="s">
        <v>35</v>
      </c>
      <c r="D423" s="22" t="s">
        <v>35</v>
      </c>
      <c r="E423" s="23">
        <v>100</v>
      </c>
      <c r="F423" s="22" t="s">
        <v>87</v>
      </c>
      <c r="G423" s="26">
        <v>5</v>
      </c>
    </row>
    <row r="424" spans="1:7">
      <c r="A424" s="17">
        <v>46049</v>
      </c>
      <c r="B424" s="18" t="s">
        <v>41</v>
      </c>
      <c r="C424" s="18" t="s">
        <v>243</v>
      </c>
      <c r="D424" s="18" t="s">
        <v>105</v>
      </c>
      <c r="E424" s="19">
        <v>10</v>
      </c>
      <c r="F424" s="18" t="s">
        <v>87</v>
      </c>
      <c r="G424" s="26">
        <v>5</v>
      </c>
    </row>
    <row r="425" spans="1:7">
      <c r="A425" s="21">
        <v>46049</v>
      </c>
      <c r="B425" s="22" t="s">
        <v>41</v>
      </c>
      <c r="C425" s="22" t="s">
        <v>43</v>
      </c>
      <c r="D425" s="22" t="s">
        <v>86</v>
      </c>
      <c r="E425" s="23">
        <v>30</v>
      </c>
      <c r="F425" s="22" t="s">
        <v>87</v>
      </c>
      <c r="G425" s="26">
        <v>5</v>
      </c>
    </row>
    <row r="426" spans="1:7">
      <c r="A426" s="17">
        <v>46049</v>
      </c>
      <c r="B426" s="18" t="s">
        <v>41</v>
      </c>
      <c r="C426" s="18" t="s">
        <v>35</v>
      </c>
      <c r="D426" s="18" t="s">
        <v>35</v>
      </c>
      <c r="E426" s="19">
        <v>20</v>
      </c>
      <c r="F426" s="18" t="s">
        <v>87</v>
      </c>
      <c r="G426" s="26">
        <v>5</v>
      </c>
    </row>
    <row r="427" spans="1:7">
      <c r="A427" s="21">
        <v>46049</v>
      </c>
      <c r="B427" s="22" t="s">
        <v>41</v>
      </c>
      <c r="C427" s="22" t="s">
        <v>139</v>
      </c>
      <c r="D427" s="22" t="s">
        <v>71</v>
      </c>
      <c r="E427" s="23">
        <v>30</v>
      </c>
      <c r="F427" s="22" t="s">
        <v>87</v>
      </c>
      <c r="G427" s="26">
        <v>5</v>
      </c>
    </row>
    <row r="428" spans="1:7">
      <c r="A428" s="17">
        <v>46049</v>
      </c>
      <c r="B428" s="18" t="s">
        <v>41</v>
      </c>
      <c r="C428" s="18" t="s">
        <v>35</v>
      </c>
      <c r="D428" s="18" t="s">
        <v>35</v>
      </c>
      <c r="E428" s="19">
        <v>20</v>
      </c>
      <c r="F428" s="18" t="s">
        <v>87</v>
      </c>
      <c r="G428" s="26">
        <v>5</v>
      </c>
    </row>
    <row r="429" spans="1:7">
      <c r="A429" s="21">
        <v>46049</v>
      </c>
      <c r="B429" s="22" t="s">
        <v>41</v>
      </c>
      <c r="C429" s="22" t="s">
        <v>35</v>
      </c>
      <c r="D429" s="22" t="s">
        <v>35</v>
      </c>
      <c r="E429" s="23">
        <v>15</v>
      </c>
      <c r="F429" s="22" t="s">
        <v>87</v>
      </c>
      <c r="G429" s="26">
        <v>5</v>
      </c>
    </row>
    <row r="430" spans="1:7">
      <c r="A430" s="17">
        <v>46049</v>
      </c>
      <c r="B430" s="18" t="s">
        <v>41</v>
      </c>
      <c r="C430" s="18" t="s">
        <v>43</v>
      </c>
      <c r="D430" s="18" t="s">
        <v>86</v>
      </c>
      <c r="E430" s="19">
        <v>250</v>
      </c>
      <c r="F430" s="18" t="s">
        <v>87</v>
      </c>
      <c r="G430" s="26">
        <v>5</v>
      </c>
    </row>
    <row r="431" spans="1:7">
      <c r="A431" s="21">
        <v>46049</v>
      </c>
      <c r="B431" s="22" t="s">
        <v>41</v>
      </c>
      <c r="C431" s="22" t="s">
        <v>174</v>
      </c>
      <c r="D431" s="22" t="s">
        <v>105</v>
      </c>
      <c r="E431" s="23">
        <v>30</v>
      </c>
      <c r="F431" s="22" t="s">
        <v>87</v>
      </c>
      <c r="G431" s="26">
        <v>5</v>
      </c>
    </row>
    <row r="432" spans="1:7">
      <c r="A432" s="17">
        <v>46049</v>
      </c>
      <c r="B432" s="18" t="s">
        <v>41</v>
      </c>
      <c r="C432" s="18" t="s">
        <v>43</v>
      </c>
      <c r="D432" s="18" t="s">
        <v>86</v>
      </c>
      <c r="E432" s="19">
        <v>15</v>
      </c>
      <c r="F432" s="18" t="s">
        <v>87</v>
      </c>
      <c r="G432" s="26">
        <v>5</v>
      </c>
    </row>
    <row r="433" spans="1:7">
      <c r="A433" s="21">
        <v>46049</v>
      </c>
      <c r="B433" s="22" t="s">
        <v>41</v>
      </c>
      <c r="C433" s="22" t="s">
        <v>35</v>
      </c>
      <c r="D433" s="22" t="s">
        <v>35</v>
      </c>
      <c r="E433" s="23">
        <v>40</v>
      </c>
      <c r="F433" s="22" t="s">
        <v>87</v>
      </c>
      <c r="G433" s="26">
        <v>5</v>
      </c>
    </row>
    <row r="434" spans="1:7">
      <c r="A434" s="17">
        <v>46049</v>
      </c>
      <c r="B434" s="18" t="s">
        <v>41</v>
      </c>
      <c r="C434" s="18" t="s">
        <v>71</v>
      </c>
      <c r="D434" s="18" t="s">
        <v>71</v>
      </c>
      <c r="E434" s="19">
        <v>120</v>
      </c>
      <c r="F434" s="18" t="s">
        <v>87</v>
      </c>
      <c r="G434" s="26">
        <v>5</v>
      </c>
    </row>
    <row r="435" spans="1:7">
      <c r="A435" s="21">
        <v>46049</v>
      </c>
      <c r="B435" s="22" t="s">
        <v>41</v>
      </c>
      <c r="C435" s="22" t="s">
        <v>244</v>
      </c>
      <c r="D435" s="22" t="s">
        <v>35</v>
      </c>
      <c r="E435" s="23">
        <v>50</v>
      </c>
      <c r="F435" s="22" t="s">
        <v>87</v>
      </c>
      <c r="G435" s="26">
        <v>5</v>
      </c>
    </row>
    <row r="436" spans="1:7">
      <c r="A436" s="17">
        <v>46049</v>
      </c>
      <c r="B436" s="18" t="s">
        <v>41</v>
      </c>
      <c r="C436" s="18" t="s">
        <v>245</v>
      </c>
      <c r="D436" s="18" t="s">
        <v>99</v>
      </c>
      <c r="E436" s="19">
        <v>10</v>
      </c>
      <c r="F436" s="18" t="s">
        <v>87</v>
      </c>
      <c r="G436" s="26">
        <v>5</v>
      </c>
    </row>
    <row r="437" spans="1:7">
      <c r="A437" s="21">
        <v>46049</v>
      </c>
      <c r="B437" s="22" t="s">
        <v>41</v>
      </c>
      <c r="C437" s="22" t="s">
        <v>246</v>
      </c>
      <c r="D437" s="22" t="s">
        <v>35</v>
      </c>
      <c r="E437" s="23">
        <v>30</v>
      </c>
      <c r="F437" s="22" t="s">
        <v>87</v>
      </c>
      <c r="G437" s="26">
        <v>5</v>
      </c>
    </row>
    <row r="438" spans="1:7">
      <c r="A438" s="17">
        <v>46049</v>
      </c>
      <c r="B438" s="18" t="s">
        <v>41</v>
      </c>
      <c r="C438" s="18" t="s">
        <v>127</v>
      </c>
      <c r="D438" s="18" t="s">
        <v>86</v>
      </c>
      <c r="E438" s="19">
        <v>10</v>
      </c>
      <c r="F438" s="18" t="s">
        <v>87</v>
      </c>
      <c r="G438" s="26">
        <v>5</v>
      </c>
    </row>
    <row r="439" spans="1:7">
      <c r="A439" s="21">
        <v>46049</v>
      </c>
      <c r="B439" s="22" t="s">
        <v>41</v>
      </c>
      <c r="C439" s="22" t="s">
        <v>234</v>
      </c>
      <c r="D439" s="22" t="s">
        <v>86</v>
      </c>
      <c r="E439" s="23">
        <v>5</v>
      </c>
      <c r="F439" s="22" t="s">
        <v>87</v>
      </c>
      <c r="G439" s="26">
        <v>5</v>
      </c>
    </row>
    <row r="440" spans="1:7">
      <c r="A440" s="17">
        <v>46049</v>
      </c>
      <c r="B440" s="18" t="s">
        <v>41</v>
      </c>
      <c r="C440" s="18" t="s">
        <v>35</v>
      </c>
      <c r="D440" s="18" t="s">
        <v>35</v>
      </c>
      <c r="E440" s="19">
        <v>10</v>
      </c>
      <c r="F440" s="18" t="s">
        <v>87</v>
      </c>
      <c r="G440" s="26">
        <v>5</v>
      </c>
    </row>
    <row r="441" spans="1:7">
      <c r="A441" s="21">
        <v>46049</v>
      </c>
      <c r="B441" s="22" t="s">
        <v>41</v>
      </c>
      <c r="C441" s="22" t="s">
        <v>247</v>
      </c>
      <c r="D441" s="22" t="s">
        <v>95</v>
      </c>
      <c r="E441" s="23">
        <v>250</v>
      </c>
      <c r="F441" s="22" t="s">
        <v>87</v>
      </c>
      <c r="G441" s="26">
        <v>5</v>
      </c>
    </row>
    <row r="442" spans="1:7">
      <c r="A442" s="17">
        <v>46049</v>
      </c>
      <c r="B442" s="18" t="s">
        <v>41</v>
      </c>
      <c r="C442" s="18" t="s">
        <v>93</v>
      </c>
      <c r="D442" s="18" t="s">
        <v>93</v>
      </c>
      <c r="E442" s="19">
        <v>50</v>
      </c>
      <c r="F442" s="18" t="s">
        <v>87</v>
      </c>
      <c r="G442" s="26">
        <v>5</v>
      </c>
    </row>
    <row r="443" spans="1:7">
      <c r="A443" s="21">
        <v>46049</v>
      </c>
      <c r="B443" s="22" t="s">
        <v>41</v>
      </c>
      <c r="C443" s="22" t="s">
        <v>94</v>
      </c>
      <c r="D443" s="22" t="s">
        <v>95</v>
      </c>
      <c r="E443" s="23">
        <v>250</v>
      </c>
      <c r="F443" s="22" t="s">
        <v>87</v>
      </c>
      <c r="G443" s="26">
        <v>5</v>
      </c>
    </row>
    <row r="444" spans="1:7">
      <c r="A444" s="17">
        <v>46049</v>
      </c>
      <c r="B444" s="18" t="s">
        <v>41</v>
      </c>
      <c r="C444" s="18" t="s">
        <v>93</v>
      </c>
      <c r="D444" s="18" t="s">
        <v>93</v>
      </c>
      <c r="E444" s="19">
        <v>50</v>
      </c>
      <c r="F444" s="18" t="s">
        <v>87</v>
      </c>
      <c r="G444" s="26">
        <v>5</v>
      </c>
    </row>
    <row r="445" spans="1:7">
      <c r="A445" s="21">
        <v>46049</v>
      </c>
      <c r="B445" s="22" t="s">
        <v>41</v>
      </c>
      <c r="C445" s="22" t="s">
        <v>248</v>
      </c>
      <c r="D445" s="22" t="s">
        <v>86</v>
      </c>
      <c r="E445" s="23">
        <v>80</v>
      </c>
      <c r="F445" s="22" t="s">
        <v>87</v>
      </c>
      <c r="G445" s="26">
        <v>5</v>
      </c>
    </row>
    <row r="446" spans="1:7">
      <c r="A446" s="17">
        <v>46049</v>
      </c>
      <c r="B446" s="18" t="s">
        <v>41</v>
      </c>
      <c r="C446" s="18" t="s">
        <v>35</v>
      </c>
      <c r="D446" s="18" t="s">
        <v>35</v>
      </c>
      <c r="E446" s="19">
        <v>40</v>
      </c>
      <c r="F446" s="18" t="s">
        <v>87</v>
      </c>
      <c r="G446" s="26">
        <v>5</v>
      </c>
    </row>
    <row r="447" spans="1:7">
      <c r="A447" s="21">
        <v>46049</v>
      </c>
      <c r="B447" s="22" t="s">
        <v>41</v>
      </c>
      <c r="C447" s="22" t="s">
        <v>93</v>
      </c>
      <c r="D447" s="22" t="s">
        <v>93</v>
      </c>
      <c r="E447" s="23">
        <v>50</v>
      </c>
      <c r="F447" s="22" t="s">
        <v>87</v>
      </c>
      <c r="G447" s="26">
        <v>5</v>
      </c>
    </row>
    <row r="448" spans="1:7">
      <c r="A448" s="17">
        <v>46049</v>
      </c>
      <c r="B448" s="18" t="s">
        <v>41</v>
      </c>
      <c r="C448" s="18" t="s">
        <v>217</v>
      </c>
      <c r="D448" s="18" t="s">
        <v>86</v>
      </c>
      <c r="E448" s="19">
        <v>65</v>
      </c>
      <c r="F448" s="18" t="s">
        <v>87</v>
      </c>
      <c r="G448" s="26">
        <v>5</v>
      </c>
    </row>
    <row r="449" spans="1:7">
      <c r="A449" s="21">
        <v>46049</v>
      </c>
      <c r="B449" s="22" t="s">
        <v>41</v>
      </c>
      <c r="C449" s="22" t="s">
        <v>249</v>
      </c>
      <c r="D449" s="22" t="s">
        <v>35</v>
      </c>
      <c r="E449" s="23">
        <v>50</v>
      </c>
      <c r="F449" s="22" t="s">
        <v>87</v>
      </c>
      <c r="G449" s="26">
        <v>5</v>
      </c>
    </row>
    <row r="450" spans="1:7">
      <c r="A450" s="21">
        <v>46050</v>
      </c>
      <c r="B450" s="22" t="s">
        <v>45</v>
      </c>
      <c r="C450" s="22" t="s">
        <v>174</v>
      </c>
      <c r="D450" s="22" t="s">
        <v>105</v>
      </c>
      <c r="E450" s="23">
        <v>30</v>
      </c>
      <c r="F450" s="22" t="s">
        <v>87</v>
      </c>
      <c r="G450" s="26">
        <v>5</v>
      </c>
    </row>
    <row r="451" spans="1:7">
      <c r="A451" s="17">
        <v>46050</v>
      </c>
      <c r="B451" s="18" t="s">
        <v>45</v>
      </c>
      <c r="C451" s="18" t="s">
        <v>43</v>
      </c>
      <c r="D451" s="18" t="s">
        <v>86</v>
      </c>
      <c r="E451" s="19">
        <v>15</v>
      </c>
      <c r="F451" s="18" t="s">
        <v>87</v>
      </c>
      <c r="G451" s="26">
        <v>5</v>
      </c>
    </row>
    <row r="452" spans="1:7">
      <c r="A452" s="21">
        <v>46050</v>
      </c>
      <c r="B452" s="22" t="s">
        <v>45</v>
      </c>
      <c r="C452" s="22" t="s">
        <v>35</v>
      </c>
      <c r="D452" s="22" t="s">
        <v>35</v>
      </c>
      <c r="E452" s="23">
        <v>40</v>
      </c>
      <c r="F452" s="22" t="s">
        <v>87</v>
      </c>
      <c r="G452" s="26">
        <v>5</v>
      </c>
    </row>
    <row r="453" spans="1:7">
      <c r="A453" s="17">
        <v>46050</v>
      </c>
      <c r="B453" s="18" t="s">
        <v>45</v>
      </c>
      <c r="C453" s="18" t="s">
        <v>71</v>
      </c>
      <c r="D453" s="18" t="s">
        <v>71</v>
      </c>
      <c r="E453" s="19">
        <v>120</v>
      </c>
      <c r="F453" s="18" t="s">
        <v>87</v>
      </c>
      <c r="G453" s="26">
        <v>5</v>
      </c>
    </row>
    <row r="454" spans="1:7">
      <c r="A454" s="21">
        <v>46050</v>
      </c>
      <c r="B454" s="22" t="s">
        <v>45</v>
      </c>
      <c r="C454" s="22" t="s">
        <v>246</v>
      </c>
      <c r="D454" s="22" t="s">
        <v>35</v>
      </c>
      <c r="E454" s="23">
        <v>50</v>
      </c>
      <c r="F454" s="22" t="s">
        <v>87</v>
      </c>
      <c r="G454" s="26">
        <v>5</v>
      </c>
    </row>
    <row r="455" spans="1:7">
      <c r="A455" s="17">
        <v>46050</v>
      </c>
      <c r="B455" s="18" t="s">
        <v>45</v>
      </c>
      <c r="C455" s="18" t="s">
        <v>245</v>
      </c>
      <c r="D455" s="18" t="s">
        <v>99</v>
      </c>
      <c r="E455" s="19">
        <v>10</v>
      </c>
      <c r="F455" s="18" t="s">
        <v>87</v>
      </c>
      <c r="G455" s="26">
        <v>5</v>
      </c>
    </row>
    <row r="456" spans="1:7">
      <c r="A456" s="21">
        <v>46050</v>
      </c>
      <c r="B456" s="22" t="s">
        <v>45</v>
      </c>
      <c r="C456" s="22" t="s">
        <v>247</v>
      </c>
      <c r="D456" s="22" t="s">
        <v>95</v>
      </c>
      <c r="E456" s="23">
        <v>250</v>
      </c>
      <c r="F456" s="22" t="s">
        <v>87</v>
      </c>
      <c r="G456" s="26">
        <v>5</v>
      </c>
    </row>
    <row r="457" spans="1:7">
      <c r="A457" s="17">
        <v>46050</v>
      </c>
      <c r="B457" s="18" t="s">
        <v>45</v>
      </c>
      <c r="C457" s="18" t="s">
        <v>93</v>
      </c>
      <c r="D457" s="18" t="s">
        <v>93</v>
      </c>
      <c r="E457" s="19">
        <v>50</v>
      </c>
      <c r="F457" s="18" t="s">
        <v>87</v>
      </c>
      <c r="G457" s="26">
        <v>5</v>
      </c>
    </row>
    <row r="458" spans="1:7">
      <c r="A458" s="21">
        <v>46050</v>
      </c>
      <c r="B458" s="22" t="s">
        <v>45</v>
      </c>
      <c r="C458" s="22" t="s">
        <v>94</v>
      </c>
      <c r="D458" s="22" t="s">
        <v>95</v>
      </c>
      <c r="E458" s="23">
        <v>250</v>
      </c>
      <c r="F458" s="22" t="s">
        <v>87</v>
      </c>
      <c r="G458" s="26">
        <v>5</v>
      </c>
    </row>
    <row r="459" spans="1:7">
      <c r="A459" s="17">
        <v>46050</v>
      </c>
      <c r="B459" s="18" t="s">
        <v>45</v>
      </c>
      <c r="C459" s="18" t="s">
        <v>248</v>
      </c>
      <c r="D459" s="18" t="s">
        <v>86</v>
      </c>
      <c r="E459" s="19">
        <v>80</v>
      </c>
      <c r="F459" s="18" t="s">
        <v>87</v>
      </c>
      <c r="G459" s="26">
        <v>5</v>
      </c>
    </row>
    <row r="460" spans="1:7">
      <c r="A460" s="21">
        <v>46050</v>
      </c>
      <c r="B460" s="22" t="s">
        <v>45</v>
      </c>
      <c r="C460" s="22" t="s">
        <v>35</v>
      </c>
      <c r="D460" s="22" t="s">
        <v>35</v>
      </c>
      <c r="E460" s="23">
        <v>40</v>
      </c>
      <c r="F460" s="22" t="s">
        <v>87</v>
      </c>
      <c r="G460" s="26">
        <v>5</v>
      </c>
    </row>
    <row r="461" spans="1:7">
      <c r="A461" s="21">
        <v>46051</v>
      </c>
      <c r="B461" s="22" t="s">
        <v>50</v>
      </c>
      <c r="C461" s="22" t="s">
        <v>43</v>
      </c>
      <c r="D461" s="22" t="s">
        <v>86</v>
      </c>
      <c r="E461" s="23">
        <v>10</v>
      </c>
      <c r="F461" s="22" t="s">
        <v>87</v>
      </c>
      <c r="G461" s="26">
        <v>5</v>
      </c>
    </row>
    <row r="462" spans="1:7">
      <c r="A462" s="17">
        <v>46051</v>
      </c>
      <c r="B462" s="18" t="s">
        <v>50</v>
      </c>
      <c r="C462" s="18" t="s">
        <v>35</v>
      </c>
      <c r="D462" s="18" t="s">
        <v>35</v>
      </c>
      <c r="E462" s="19">
        <v>10</v>
      </c>
      <c r="F462" s="18" t="s">
        <v>87</v>
      </c>
      <c r="G462" s="26">
        <v>5</v>
      </c>
    </row>
    <row r="463" spans="1:7">
      <c r="A463" s="21">
        <v>46051</v>
      </c>
      <c r="B463" s="22" t="s">
        <v>50</v>
      </c>
      <c r="C463" s="22" t="s">
        <v>35</v>
      </c>
      <c r="D463" s="22" t="s">
        <v>35</v>
      </c>
      <c r="E463" s="23">
        <v>20</v>
      </c>
      <c r="F463" s="22" t="s">
        <v>87</v>
      </c>
      <c r="G463" s="26">
        <v>5</v>
      </c>
    </row>
    <row r="464" spans="1:7">
      <c r="A464" s="17">
        <v>46051</v>
      </c>
      <c r="B464" s="18" t="s">
        <v>50</v>
      </c>
      <c r="C464" s="18" t="s">
        <v>35</v>
      </c>
      <c r="D464" s="18" t="s">
        <v>35</v>
      </c>
      <c r="E464" s="19">
        <v>40</v>
      </c>
      <c r="F464" s="18" t="s">
        <v>87</v>
      </c>
      <c r="G464" s="26">
        <v>5</v>
      </c>
    </row>
    <row r="465" spans="1:7">
      <c r="A465" s="21">
        <v>46051</v>
      </c>
      <c r="B465" s="22" t="s">
        <v>50</v>
      </c>
      <c r="C465" s="22" t="s">
        <v>250</v>
      </c>
      <c r="D465" s="22" t="s">
        <v>35</v>
      </c>
      <c r="E465" s="23">
        <v>210</v>
      </c>
      <c r="F465" s="22" t="s">
        <v>87</v>
      </c>
      <c r="G465" s="26">
        <v>5</v>
      </c>
    </row>
    <row r="466" spans="1:7">
      <c r="A466" s="17">
        <v>46051</v>
      </c>
      <c r="B466" s="18" t="s">
        <v>50</v>
      </c>
      <c r="C466" s="18" t="s">
        <v>245</v>
      </c>
      <c r="D466" s="18" t="s">
        <v>99</v>
      </c>
      <c r="E466" s="19">
        <v>10</v>
      </c>
      <c r="F466" s="18" t="s">
        <v>87</v>
      </c>
      <c r="G466" s="26">
        <v>5</v>
      </c>
    </row>
    <row r="467" spans="1:7">
      <c r="A467" s="21">
        <v>46051</v>
      </c>
      <c r="B467" s="22" t="s">
        <v>50</v>
      </c>
      <c r="C467" s="22" t="s">
        <v>43</v>
      </c>
      <c r="D467" s="22" t="s">
        <v>86</v>
      </c>
      <c r="E467" s="23">
        <v>10</v>
      </c>
      <c r="F467" s="22" t="s">
        <v>87</v>
      </c>
      <c r="G467" s="26">
        <v>5</v>
      </c>
    </row>
    <row r="468" spans="1:7">
      <c r="A468" s="17">
        <v>46051</v>
      </c>
      <c r="B468" s="18" t="s">
        <v>50</v>
      </c>
      <c r="C468" s="18" t="s">
        <v>251</v>
      </c>
      <c r="D468" s="18" t="s">
        <v>35</v>
      </c>
      <c r="E468" s="19">
        <v>45</v>
      </c>
      <c r="F468" s="18" t="s">
        <v>87</v>
      </c>
      <c r="G468" s="26">
        <v>5</v>
      </c>
    </row>
    <row r="469" spans="1:7">
      <c r="A469" s="21">
        <v>46051</v>
      </c>
      <c r="B469" s="22" t="s">
        <v>50</v>
      </c>
      <c r="C469" s="22" t="s">
        <v>252</v>
      </c>
      <c r="D469" s="22" t="s">
        <v>105</v>
      </c>
      <c r="E469" s="23">
        <v>30</v>
      </c>
      <c r="F469" s="22" t="s">
        <v>87</v>
      </c>
      <c r="G469" s="26">
        <v>5</v>
      </c>
    </row>
    <row r="470" spans="1:7">
      <c r="A470" s="17">
        <v>46051</v>
      </c>
      <c r="B470" s="18" t="s">
        <v>50</v>
      </c>
      <c r="C470" s="18" t="s">
        <v>228</v>
      </c>
      <c r="D470" s="18" t="s">
        <v>86</v>
      </c>
      <c r="E470" s="19">
        <v>40</v>
      </c>
      <c r="F470" s="18" t="s">
        <v>87</v>
      </c>
      <c r="G470" s="26">
        <v>5</v>
      </c>
    </row>
    <row r="471" spans="1:7">
      <c r="A471" s="21">
        <v>46051</v>
      </c>
      <c r="B471" s="22" t="s">
        <v>50</v>
      </c>
      <c r="C471" s="22" t="s">
        <v>88</v>
      </c>
      <c r="D471" s="22" t="s">
        <v>86</v>
      </c>
      <c r="E471" s="23">
        <v>10</v>
      </c>
      <c r="F471" s="22" t="s">
        <v>87</v>
      </c>
      <c r="G471" s="26">
        <v>5</v>
      </c>
    </row>
    <row r="472" spans="1:7">
      <c r="A472" s="17">
        <v>46051</v>
      </c>
      <c r="B472" s="18" t="s">
        <v>50</v>
      </c>
      <c r="C472" s="18" t="s">
        <v>249</v>
      </c>
      <c r="D472" s="18" t="s">
        <v>35</v>
      </c>
      <c r="E472" s="19">
        <v>350</v>
      </c>
      <c r="F472" s="18" t="s">
        <v>87</v>
      </c>
      <c r="G472" s="26">
        <v>5</v>
      </c>
    </row>
    <row r="473" spans="1:7">
      <c r="A473" s="21">
        <v>46051</v>
      </c>
      <c r="B473" s="22" t="s">
        <v>50</v>
      </c>
      <c r="C473" s="22" t="s">
        <v>93</v>
      </c>
      <c r="D473" s="22" t="s">
        <v>93</v>
      </c>
      <c r="E473" s="23">
        <v>250</v>
      </c>
      <c r="F473" s="22" t="s">
        <v>87</v>
      </c>
      <c r="G473" s="26">
        <v>5</v>
      </c>
    </row>
    <row r="474" spans="1:7">
      <c r="A474" s="17">
        <v>46051</v>
      </c>
      <c r="B474" s="18" t="s">
        <v>50</v>
      </c>
      <c r="C474" s="18" t="s">
        <v>35</v>
      </c>
      <c r="D474" s="18" t="s">
        <v>35</v>
      </c>
      <c r="E474" s="19">
        <v>100</v>
      </c>
      <c r="F474" s="18" t="s">
        <v>87</v>
      </c>
      <c r="G474" s="26">
        <v>5</v>
      </c>
    </row>
    <row r="475" spans="1:7">
      <c r="A475" s="21">
        <v>46051</v>
      </c>
      <c r="B475" s="22" t="s">
        <v>50</v>
      </c>
      <c r="C475" s="22" t="s">
        <v>253</v>
      </c>
      <c r="D475" s="22" t="s">
        <v>48</v>
      </c>
      <c r="E475" s="23">
        <v>540</v>
      </c>
      <c r="F475" s="22" t="s">
        <v>87</v>
      </c>
      <c r="G475" s="26">
        <v>5</v>
      </c>
    </row>
    <row r="476" spans="1:7">
      <c r="A476" s="17">
        <v>46051</v>
      </c>
      <c r="B476" s="18" t="s">
        <v>50</v>
      </c>
      <c r="C476" s="18" t="s">
        <v>35</v>
      </c>
      <c r="D476" s="18" t="s">
        <v>35</v>
      </c>
      <c r="E476" s="19">
        <v>50</v>
      </c>
      <c r="F476" s="18" t="s">
        <v>87</v>
      </c>
      <c r="G476" s="26">
        <v>5</v>
      </c>
    </row>
    <row r="477" spans="1:7">
      <c r="A477" s="21">
        <v>46051</v>
      </c>
      <c r="B477" s="22" t="s">
        <v>50</v>
      </c>
      <c r="C477" s="22" t="s">
        <v>245</v>
      </c>
      <c r="D477" s="22" t="s">
        <v>99</v>
      </c>
      <c r="E477" s="23">
        <v>10</v>
      </c>
      <c r="F477" s="22" t="s">
        <v>87</v>
      </c>
      <c r="G477" s="26">
        <v>5</v>
      </c>
    </row>
    <row r="478" spans="1:7">
      <c r="A478" s="21">
        <v>46051</v>
      </c>
      <c r="B478" s="22" t="s">
        <v>50</v>
      </c>
      <c r="C478" s="22" t="s">
        <v>254</v>
      </c>
      <c r="D478" s="22" t="s">
        <v>99</v>
      </c>
      <c r="E478" s="23">
        <v>1500</v>
      </c>
      <c r="F478" s="22" t="s">
        <v>87</v>
      </c>
      <c r="G478" s="26">
        <v>5</v>
      </c>
    </row>
    <row r="479" spans="1:7">
      <c r="A479" s="17">
        <v>46051</v>
      </c>
      <c r="B479" s="18" t="s">
        <v>50</v>
      </c>
      <c r="C479" s="18" t="s">
        <v>255</v>
      </c>
      <c r="D479" s="18" t="s">
        <v>95</v>
      </c>
      <c r="E479" s="19">
        <v>7500</v>
      </c>
      <c r="F479" s="18" t="s">
        <v>87</v>
      </c>
      <c r="G479" s="26">
        <v>5</v>
      </c>
    </row>
    <row r="480" spans="1:7">
      <c r="A480" s="21">
        <v>46051</v>
      </c>
      <c r="B480" s="22" t="s">
        <v>50</v>
      </c>
      <c r="C480" s="22" t="s">
        <v>35</v>
      </c>
      <c r="D480" s="22" t="s">
        <v>35</v>
      </c>
      <c r="E480" s="23">
        <v>220</v>
      </c>
      <c r="F480" s="22" t="s">
        <v>87</v>
      </c>
      <c r="G480" s="26">
        <v>5</v>
      </c>
    </row>
    <row r="481" spans="1:7">
      <c r="A481" s="21">
        <v>46051</v>
      </c>
      <c r="B481" s="22" t="s">
        <v>50</v>
      </c>
      <c r="C481" s="22" t="s">
        <v>256</v>
      </c>
      <c r="D481" s="22" t="s">
        <v>124</v>
      </c>
      <c r="E481" s="23">
        <v>1450</v>
      </c>
      <c r="F481" s="22" t="s">
        <v>87</v>
      </c>
      <c r="G481" s="26">
        <v>5</v>
      </c>
    </row>
    <row r="482" spans="1:7">
      <c r="A482" s="17">
        <v>46051</v>
      </c>
      <c r="B482" s="18" t="s">
        <v>50</v>
      </c>
      <c r="C482" s="18" t="s">
        <v>256</v>
      </c>
      <c r="D482" s="18" t="s">
        <v>124</v>
      </c>
      <c r="E482" s="19">
        <v>750</v>
      </c>
      <c r="F482" s="18" t="s">
        <v>87</v>
      </c>
      <c r="G482" s="26">
        <v>5</v>
      </c>
    </row>
    <row r="483" spans="1:7">
      <c r="A483" s="17">
        <v>46051</v>
      </c>
      <c r="B483" s="18" t="s">
        <v>50</v>
      </c>
      <c r="C483" s="18" t="s">
        <v>93</v>
      </c>
      <c r="D483" s="18" t="s">
        <v>93</v>
      </c>
      <c r="E483" s="19">
        <v>50</v>
      </c>
      <c r="F483" s="18" t="s">
        <v>87</v>
      </c>
      <c r="G483" s="26">
        <v>5</v>
      </c>
    </row>
    <row r="484" spans="1:7">
      <c r="A484" s="21">
        <v>46051</v>
      </c>
      <c r="B484" s="22" t="s">
        <v>50</v>
      </c>
      <c r="C484" s="22" t="s">
        <v>35</v>
      </c>
      <c r="D484" s="22" t="s">
        <v>35</v>
      </c>
      <c r="E484" s="23">
        <v>30</v>
      </c>
      <c r="F484" s="22" t="s">
        <v>87</v>
      </c>
      <c r="G484" s="26">
        <v>5</v>
      </c>
    </row>
    <row r="485" spans="1:7">
      <c r="A485" s="17">
        <v>46051</v>
      </c>
      <c r="B485" s="18" t="s">
        <v>50</v>
      </c>
      <c r="C485" s="18" t="s">
        <v>93</v>
      </c>
      <c r="D485" s="18" t="s">
        <v>93</v>
      </c>
      <c r="E485" s="19">
        <v>50</v>
      </c>
      <c r="F485" s="18" t="s">
        <v>87</v>
      </c>
      <c r="G485" s="26">
        <v>5</v>
      </c>
    </row>
    <row r="486" spans="1:7">
      <c r="A486" s="17">
        <v>46051</v>
      </c>
      <c r="B486" s="18" t="s">
        <v>50</v>
      </c>
      <c r="C486" s="18" t="s">
        <v>35</v>
      </c>
      <c r="D486" s="18" t="s">
        <v>35</v>
      </c>
      <c r="E486" s="19">
        <v>10</v>
      </c>
      <c r="F486" s="18" t="s">
        <v>87</v>
      </c>
      <c r="G486" s="26">
        <v>5</v>
      </c>
    </row>
    <row r="487" spans="1:7">
      <c r="A487" s="21">
        <v>46051</v>
      </c>
      <c r="B487" s="22" t="s">
        <v>50</v>
      </c>
      <c r="C487" s="22" t="s">
        <v>93</v>
      </c>
      <c r="D487" s="22" t="s">
        <v>93</v>
      </c>
      <c r="E487" s="23">
        <v>50</v>
      </c>
      <c r="F487" s="22" t="s">
        <v>87</v>
      </c>
      <c r="G487" s="26">
        <v>5</v>
      </c>
    </row>
    <row r="488" spans="1:7">
      <c r="A488" s="17">
        <v>46051</v>
      </c>
      <c r="B488" s="18" t="s">
        <v>50</v>
      </c>
      <c r="C488" s="18" t="s">
        <v>35</v>
      </c>
      <c r="D488" s="18" t="s">
        <v>35</v>
      </c>
      <c r="E488" s="19">
        <v>20</v>
      </c>
      <c r="F488" s="18" t="s">
        <v>87</v>
      </c>
      <c r="G488" s="26">
        <v>5</v>
      </c>
    </row>
    <row r="489" spans="1:7">
      <c r="A489" s="21">
        <v>46051</v>
      </c>
      <c r="B489" s="22" t="s">
        <v>50</v>
      </c>
      <c r="C489" s="22" t="s">
        <v>35</v>
      </c>
      <c r="D489" s="22" t="s">
        <v>35</v>
      </c>
      <c r="E489" s="23">
        <v>20</v>
      </c>
      <c r="F489" s="22" t="s">
        <v>87</v>
      </c>
      <c r="G489" s="26">
        <v>5</v>
      </c>
    </row>
    <row r="490" spans="1:7">
      <c r="A490" s="17">
        <v>46051</v>
      </c>
      <c r="B490" s="18" t="s">
        <v>50</v>
      </c>
      <c r="C490" s="18" t="s">
        <v>35</v>
      </c>
      <c r="D490" s="18" t="s">
        <v>35</v>
      </c>
      <c r="E490" s="19">
        <v>20</v>
      </c>
      <c r="F490" s="18" t="s">
        <v>87</v>
      </c>
      <c r="G490" s="26">
        <v>5</v>
      </c>
    </row>
    <row r="491" spans="1:7">
      <c r="A491" s="21">
        <v>46051</v>
      </c>
      <c r="B491" s="22" t="s">
        <v>50</v>
      </c>
      <c r="C491" s="22" t="s">
        <v>257</v>
      </c>
      <c r="D491" s="22" t="s">
        <v>95</v>
      </c>
      <c r="E491" s="23">
        <v>500</v>
      </c>
      <c r="F491" s="22" t="s">
        <v>87</v>
      </c>
      <c r="G491" s="26">
        <v>5</v>
      </c>
    </row>
    <row r="492" spans="1:7">
      <c r="A492" s="17">
        <v>46051</v>
      </c>
      <c r="B492" s="18" t="s">
        <v>50</v>
      </c>
      <c r="C492" s="18" t="s">
        <v>258</v>
      </c>
      <c r="D492" s="18" t="s">
        <v>86</v>
      </c>
      <c r="E492" s="19">
        <v>90</v>
      </c>
      <c r="F492" s="18" t="s">
        <v>87</v>
      </c>
      <c r="G492" s="26">
        <v>5</v>
      </c>
    </row>
    <row r="493" spans="1:7">
      <c r="A493" s="21">
        <v>46051</v>
      </c>
      <c r="B493" s="22" t="s">
        <v>50</v>
      </c>
      <c r="C493" s="22" t="s">
        <v>35</v>
      </c>
      <c r="D493" s="22" t="s">
        <v>35</v>
      </c>
      <c r="E493" s="23">
        <v>80</v>
      </c>
      <c r="F493" s="22" t="s">
        <v>87</v>
      </c>
      <c r="G493" s="26">
        <v>5</v>
      </c>
    </row>
    <row r="494" spans="1:7">
      <c r="A494" s="17">
        <v>46051</v>
      </c>
      <c r="B494" s="18" t="s">
        <v>50</v>
      </c>
      <c r="C494" s="18" t="s">
        <v>121</v>
      </c>
      <c r="D494" s="18" t="s">
        <v>86</v>
      </c>
      <c r="E494" s="19">
        <v>40</v>
      </c>
      <c r="F494" s="18" t="s">
        <v>87</v>
      </c>
      <c r="G494" s="26">
        <v>5</v>
      </c>
    </row>
    <row r="495" spans="1:7">
      <c r="A495" s="21">
        <v>46051</v>
      </c>
      <c r="B495" s="22" t="s">
        <v>50</v>
      </c>
      <c r="C495" s="22" t="s">
        <v>35</v>
      </c>
      <c r="D495" s="22" t="s">
        <v>35</v>
      </c>
      <c r="E495" s="23">
        <v>40</v>
      </c>
      <c r="F495" s="22" t="s">
        <v>87</v>
      </c>
      <c r="G495" s="26">
        <v>5</v>
      </c>
    </row>
    <row r="496" spans="1:7">
      <c r="A496" s="17">
        <v>46051</v>
      </c>
      <c r="B496" s="18" t="s">
        <v>50</v>
      </c>
      <c r="C496" s="18" t="s">
        <v>259</v>
      </c>
      <c r="D496" s="18" t="s">
        <v>99</v>
      </c>
      <c r="E496" s="19">
        <v>5</v>
      </c>
      <c r="F496" s="18" t="s">
        <v>87</v>
      </c>
      <c r="G496" s="26">
        <v>5</v>
      </c>
    </row>
    <row r="497" spans="1:7">
      <c r="A497" s="21">
        <v>46051</v>
      </c>
      <c r="B497" s="22" t="s">
        <v>50</v>
      </c>
      <c r="C497" s="22" t="s">
        <v>93</v>
      </c>
      <c r="D497" s="22" t="s">
        <v>93</v>
      </c>
      <c r="E497" s="23">
        <v>50</v>
      </c>
      <c r="F497" s="22" t="s">
        <v>87</v>
      </c>
      <c r="G497" s="26">
        <v>5</v>
      </c>
    </row>
    <row r="498" spans="1:7">
      <c r="A498" s="17">
        <v>46051</v>
      </c>
      <c r="B498" s="18" t="s">
        <v>50</v>
      </c>
      <c r="C498" s="18" t="s">
        <v>35</v>
      </c>
      <c r="D498" s="18" t="s">
        <v>35</v>
      </c>
      <c r="E498" s="19">
        <v>10</v>
      </c>
      <c r="F498" s="18" t="s">
        <v>87</v>
      </c>
      <c r="G498" s="26">
        <v>5</v>
      </c>
    </row>
    <row r="499" spans="1:7">
      <c r="A499" s="21">
        <v>46051</v>
      </c>
      <c r="B499" s="22" t="s">
        <v>50</v>
      </c>
      <c r="C499" s="22" t="s">
        <v>93</v>
      </c>
      <c r="D499" s="22" t="s">
        <v>93</v>
      </c>
      <c r="E499" s="23">
        <v>50</v>
      </c>
      <c r="F499" s="22" t="s">
        <v>87</v>
      </c>
      <c r="G499" s="26">
        <v>5</v>
      </c>
    </row>
    <row r="500" spans="1:7">
      <c r="A500" s="17">
        <v>46051</v>
      </c>
      <c r="B500" s="18" t="s">
        <v>50</v>
      </c>
      <c r="C500" s="18" t="s">
        <v>260</v>
      </c>
      <c r="D500" s="18" t="s">
        <v>261</v>
      </c>
      <c r="E500" s="19">
        <v>50</v>
      </c>
      <c r="F500" s="18" t="s">
        <v>87</v>
      </c>
      <c r="G500" s="26">
        <v>5</v>
      </c>
    </row>
    <row r="501" spans="1:7">
      <c r="A501" s="21">
        <v>46051</v>
      </c>
      <c r="B501" s="22" t="s">
        <v>50</v>
      </c>
      <c r="C501" s="22" t="s">
        <v>262</v>
      </c>
      <c r="D501" s="22" t="s">
        <v>35</v>
      </c>
      <c r="E501" s="23">
        <v>110</v>
      </c>
      <c r="F501" s="22" t="s">
        <v>87</v>
      </c>
      <c r="G501" s="26">
        <v>5</v>
      </c>
    </row>
    <row r="502" spans="1:7">
      <c r="A502" s="17">
        <v>46051</v>
      </c>
      <c r="B502" s="18" t="s">
        <v>50</v>
      </c>
      <c r="C502" s="18" t="s">
        <v>262</v>
      </c>
      <c r="D502" s="18" t="s">
        <v>35</v>
      </c>
      <c r="E502" s="19">
        <v>180</v>
      </c>
      <c r="F502" s="18" t="s">
        <v>87</v>
      </c>
      <c r="G502" s="26">
        <v>5</v>
      </c>
    </row>
    <row r="503" spans="1:7">
      <c r="A503" s="21">
        <v>46051</v>
      </c>
      <c r="B503" s="22" t="s">
        <v>50</v>
      </c>
      <c r="C503" s="22" t="s">
        <v>245</v>
      </c>
      <c r="D503" s="22" t="s">
        <v>99</v>
      </c>
      <c r="E503" s="23">
        <v>5</v>
      </c>
      <c r="F503" s="22" t="s">
        <v>87</v>
      </c>
      <c r="G503" s="26">
        <v>5</v>
      </c>
    </row>
    <row r="504" spans="1:7">
      <c r="A504" s="17">
        <v>46051</v>
      </c>
      <c r="B504" s="18" t="s">
        <v>50</v>
      </c>
      <c r="C504" s="18" t="s">
        <v>135</v>
      </c>
      <c r="D504" s="18" t="s">
        <v>95</v>
      </c>
      <c r="E504" s="19">
        <v>250</v>
      </c>
      <c r="F504" s="18" t="s">
        <v>87</v>
      </c>
      <c r="G504" s="26">
        <v>5</v>
      </c>
    </row>
    <row r="505" spans="1:7">
      <c r="A505" s="21">
        <v>46052</v>
      </c>
      <c r="B505" s="22" t="s">
        <v>54</v>
      </c>
      <c r="C505" s="22" t="s">
        <v>263</v>
      </c>
      <c r="D505" s="22" t="s">
        <v>35</v>
      </c>
      <c r="E505" s="23">
        <v>55</v>
      </c>
      <c r="F505" s="22" t="s">
        <v>87</v>
      </c>
      <c r="G505" s="26">
        <v>5</v>
      </c>
    </row>
    <row r="506" spans="1:7">
      <c r="A506" s="17">
        <v>46052</v>
      </c>
      <c r="B506" s="18" t="s">
        <v>54</v>
      </c>
      <c r="C506" s="18" t="s">
        <v>264</v>
      </c>
      <c r="D506" s="18" t="s">
        <v>35</v>
      </c>
      <c r="E506" s="19">
        <v>130</v>
      </c>
      <c r="F506" s="18" t="s">
        <v>87</v>
      </c>
      <c r="G506" s="26">
        <v>5</v>
      </c>
    </row>
    <row r="507" spans="1:7">
      <c r="A507" s="21">
        <v>46052</v>
      </c>
      <c r="B507" s="22" t="s">
        <v>54</v>
      </c>
      <c r="C507" s="22" t="s">
        <v>35</v>
      </c>
      <c r="D507" s="22" t="s">
        <v>35</v>
      </c>
      <c r="E507" s="23">
        <v>20</v>
      </c>
      <c r="F507" s="22" t="s">
        <v>87</v>
      </c>
      <c r="G507" s="26">
        <v>5</v>
      </c>
    </row>
    <row r="508" spans="1:7">
      <c r="A508" s="21">
        <v>46052</v>
      </c>
      <c r="B508" s="22" t="s">
        <v>54</v>
      </c>
      <c r="C508" s="22" t="s">
        <v>71</v>
      </c>
      <c r="D508" s="22" t="s">
        <v>71</v>
      </c>
      <c r="E508" s="23">
        <v>180</v>
      </c>
      <c r="F508" s="22" t="s">
        <v>87</v>
      </c>
      <c r="G508" s="26">
        <v>5</v>
      </c>
    </row>
    <row r="509" spans="1:7">
      <c r="A509" s="17">
        <v>46052</v>
      </c>
      <c r="B509" s="18" t="s">
        <v>54</v>
      </c>
      <c r="C509" s="18" t="s">
        <v>224</v>
      </c>
      <c r="D509" s="18" t="s">
        <v>86</v>
      </c>
      <c r="E509" s="19">
        <v>125</v>
      </c>
      <c r="F509" s="18" t="s">
        <v>87</v>
      </c>
      <c r="G509" s="26">
        <v>5</v>
      </c>
    </row>
    <row r="510" spans="1:7">
      <c r="A510" s="21">
        <v>46052</v>
      </c>
      <c r="B510" s="22" t="s">
        <v>54</v>
      </c>
      <c r="C510" s="22" t="s">
        <v>35</v>
      </c>
      <c r="D510" s="22" t="s">
        <v>35</v>
      </c>
      <c r="E510" s="23">
        <v>120</v>
      </c>
      <c r="F510" s="22" t="s">
        <v>87</v>
      </c>
      <c r="G510" s="26">
        <v>5</v>
      </c>
    </row>
    <row r="511" spans="1:7">
      <c r="A511" s="17">
        <v>46052</v>
      </c>
      <c r="B511" s="18" t="s">
        <v>54</v>
      </c>
      <c r="C511" s="18" t="s">
        <v>93</v>
      </c>
      <c r="D511" s="18" t="s">
        <v>93</v>
      </c>
      <c r="E511" s="19">
        <v>50</v>
      </c>
      <c r="F511" s="18" t="s">
        <v>87</v>
      </c>
      <c r="G511" s="26">
        <v>5</v>
      </c>
    </row>
    <row r="512" spans="1:7">
      <c r="A512" s="21">
        <v>46052</v>
      </c>
      <c r="B512" s="22" t="s">
        <v>54</v>
      </c>
      <c r="C512" s="22" t="s">
        <v>265</v>
      </c>
      <c r="D512" s="22" t="s">
        <v>105</v>
      </c>
      <c r="E512" s="23">
        <v>530</v>
      </c>
      <c r="F512" s="22" t="s">
        <v>87</v>
      </c>
      <c r="G512" s="26">
        <v>5</v>
      </c>
    </row>
    <row r="513" spans="1:7">
      <c r="A513" s="17">
        <v>46052</v>
      </c>
      <c r="B513" s="18" t="s">
        <v>54</v>
      </c>
      <c r="C513" s="18" t="s">
        <v>245</v>
      </c>
      <c r="D513" s="18" t="s">
        <v>99</v>
      </c>
      <c r="E513" s="19">
        <v>10</v>
      </c>
      <c r="F513" s="18" t="s">
        <v>87</v>
      </c>
      <c r="G513" s="26">
        <v>5</v>
      </c>
    </row>
    <row r="514" spans="1:7">
      <c r="A514" s="21">
        <v>46052</v>
      </c>
      <c r="B514" s="22" t="s">
        <v>54</v>
      </c>
      <c r="C514" s="22" t="s">
        <v>35</v>
      </c>
      <c r="D514" s="22" t="s">
        <v>35</v>
      </c>
      <c r="E514" s="23">
        <v>40</v>
      </c>
      <c r="F514" s="22" t="s">
        <v>87</v>
      </c>
      <c r="G514" s="26">
        <v>5</v>
      </c>
    </row>
    <row r="515" spans="1:7">
      <c r="A515" s="17">
        <v>46052</v>
      </c>
      <c r="B515" s="18" t="s">
        <v>54</v>
      </c>
      <c r="C515" s="18" t="s">
        <v>185</v>
      </c>
      <c r="D515" s="18" t="s">
        <v>124</v>
      </c>
      <c r="E515" s="19">
        <v>200</v>
      </c>
      <c r="F515" s="18" t="s">
        <v>87</v>
      </c>
      <c r="G515" s="26">
        <v>5</v>
      </c>
    </row>
    <row r="516" spans="1:7">
      <c r="A516" s="21">
        <v>46052</v>
      </c>
      <c r="B516" s="22" t="s">
        <v>54</v>
      </c>
      <c r="C516" s="22" t="s">
        <v>135</v>
      </c>
      <c r="D516" s="22" t="s">
        <v>95</v>
      </c>
      <c r="E516" s="23">
        <v>260</v>
      </c>
      <c r="F516" s="22" t="s">
        <v>87</v>
      </c>
      <c r="G516" s="26">
        <v>5</v>
      </c>
    </row>
    <row r="517" spans="1:7">
      <c r="A517" s="17">
        <v>46052</v>
      </c>
      <c r="B517" s="18" t="s">
        <v>54</v>
      </c>
      <c r="C517" s="18" t="s">
        <v>35</v>
      </c>
      <c r="D517" s="18" t="s">
        <v>35</v>
      </c>
      <c r="E517" s="19">
        <v>60</v>
      </c>
      <c r="F517" s="18" t="s">
        <v>87</v>
      </c>
      <c r="G517" s="26">
        <v>5</v>
      </c>
    </row>
    <row r="518" spans="1:7">
      <c r="A518" s="21">
        <v>46052</v>
      </c>
      <c r="B518" s="22" t="s">
        <v>54</v>
      </c>
      <c r="C518" s="22" t="s">
        <v>35</v>
      </c>
      <c r="D518" s="22" t="s">
        <v>35</v>
      </c>
      <c r="E518" s="23">
        <v>20</v>
      </c>
      <c r="F518" s="22" t="s">
        <v>87</v>
      </c>
      <c r="G518" s="26">
        <v>5</v>
      </c>
    </row>
    <row r="519" spans="1:7">
      <c r="A519" s="17">
        <v>46052</v>
      </c>
      <c r="B519" s="18" t="s">
        <v>54</v>
      </c>
      <c r="C519" s="18" t="s">
        <v>121</v>
      </c>
      <c r="D519" s="18" t="s">
        <v>86</v>
      </c>
      <c r="E519" s="19">
        <v>5</v>
      </c>
      <c r="F519" s="18" t="s">
        <v>87</v>
      </c>
      <c r="G519" s="26">
        <v>5</v>
      </c>
    </row>
    <row r="520" spans="1:7">
      <c r="A520" s="21">
        <v>46052</v>
      </c>
      <c r="B520" s="22" t="s">
        <v>54</v>
      </c>
      <c r="C520" s="22" t="s">
        <v>203</v>
      </c>
      <c r="D520" s="22" t="s">
        <v>99</v>
      </c>
      <c r="E520" s="23">
        <v>5</v>
      </c>
      <c r="F520" s="22" t="s">
        <v>87</v>
      </c>
      <c r="G520" s="26">
        <v>5</v>
      </c>
    </row>
    <row r="521" spans="1:7">
      <c r="A521" s="17">
        <v>46052</v>
      </c>
      <c r="B521" s="18" t="s">
        <v>54</v>
      </c>
      <c r="C521" s="18" t="s">
        <v>266</v>
      </c>
      <c r="D521" s="18" t="s">
        <v>99</v>
      </c>
      <c r="E521" s="19">
        <v>10</v>
      </c>
      <c r="F521" s="18" t="s">
        <v>87</v>
      </c>
      <c r="G521" s="26">
        <v>5</v>
      </c>
    </row>
    <row r="522" spans="1:7">
      <c r="A522" s="21">
        <v>46052</v>
      </c>
      <c r="B522" s="22" t="s">
        <v>54</v>
      </c>
      <c r="C522" s="22" t="s">
        <v>267</v>
      </c>
      <c r="D522" s="22" t="s">
        <v>35</v>
      </c>
      <c r="E522" s="23">
        <v>160</v>
      </c>
      <c r="F522" s="22" t="s">
        <v>87</v>
      </c>
      <c r="G522" s="26">
        <v>5</v>
      </c>
    </row>
    <row r="523" spans="1:7">
      <c r="A523" s="17">
        <v>46052</v>
      </c>
      <c r="B523" s="18" t="s">
        <v>54</v>
      </c>
      <c r="C523" s="18" t="s">
        <v>35</v>
      </c>
      <c r="D523" s="18" t="s">
        <v>35</v>
      </c>
      <c r="E523" s="19">
        <v>100</v>
      </c>
      <c r="F523" s="18" t="s">
        <v>87</v>
      </c>
      <c r="G523" s="26">
        <v>5</v>
      </c>
    </row>
    <row r="524" spans="1:7">
      <c r="A524" s="21">
        <v>46052</v>
      </c>
      <c r="B524" s="22" t="s">
        <v>54</v>
      </c>
      <c r="C524" s="22" t="s">
        <v>35</v>
      </c>
      <c r="D524" s="22" t="s">
        <v>35</v>
      </c>
      <c r="E524" s="23">
        <v>10</v>
      </c>
      <c r="F524" s="22" t="s">
        <v>87</v>
      </c>
      <c r="G524" s="26">
        <v>5</v>
      </c>
    </row>
    <row r="525" spans="1:7">
      <c r="A525" s="17">
        <v>46052</v>
      </c>
      <c r="B525" s="18" t="s">
        <v>54</v>
      </c>
      <c r="C525" s="18" t="s">
        <v>264</v>
      </c>
      <c r="D525" s="18" t="s">
        <v>35</v>
      </c>
      <c r="E525" s="19">
        <v>120</v>
      </c>
      <c r="F525" s="18" t="s">
        <v>87</v>
      </c>
      <c r="G525" s="26">
        <v>5</v>
      </c>
    </row>
    <row r="526" spans="1:7">
      <c r="A526" s="21">
        <v>46052</v>
      </c>
      <c r="B526" s="22" t="s">
        <v>54</v>
      </c>
      <c r="C526" s="22" t="s">
        <v>185</v>
      </c>
      <c r="D526" s="22" t="s">
        <v>124</v>
      </c>
      <c r="E526" s="23">
        <v>500</v>
      </c>
      <c r="F526" s="22" t="s">
        <v>87</v>
      </c>
      <c r="G526" s="26">
        <v>5</v>
      </c>
    </row>
    <row r="527" spans="1:7">
      <c r="A527" s="17">
        <v>46052</v>
      </c>
      <c r="B527" s="18" t="s">
        <v>54</v>
      </c>
      <c r="C527" s="18" t="s">
        <v>35</v>
      </c>
      <c r="D527" s="18" t="s">
        <v>35</v>
      </c>
      <c r="E527" s="19">
        <v>50</v>
      </c>
      <c r="F527" s="18" t="s">
        <v>87</v>
      </c>
      <c r="G527" s="26">
        <v>5</v>
      </c>
    </row>
    <row r="528" spans="1:7">
      <c r="A528" s="17">
        <v>46052</v>
      </c>
      <c r="B528" s="18" t="s">
        <v>54</v>
      </c>
      <c r="C528" s="18" t="s">
        <v>234</v>
      </c>
      <c r="D528" s="18" t="s">
        <v>86</v>
      </c>
      <c r="E528" s="19">
        <v>5</v>
      </c>
      <c r="F528" s="18" t="s">
        <v>87</v>
      </c>
      <c r="G528" s="26">
        <v>5</v>
      </c>
    </row>
    <row r="529" spans="1:7">
      <c r="A529" s="21">
        <v>46052</v>
      </c>
      <c r="B529" s="22" t="s">
        <v>54</v>
      </c>
      <c r="C529" s="22" t="s">
        <v>234</v>
      </c>
      <c r="D529" s="22" t="s">
        <v>86</v>
      </c>
      <c r="E529" s="23">
        <v>10</v>
      </c>
      <c r="F529" s="22" t="s">
        <v>87</v>
      </c>
      <c r="G529" s="26">
        <v>5</v>
      </c>
    </row>
    <row r="530" spans="1:7">
      <c r="A530" s="17">
        <v>46052</v>
      </c>
      <c r="B530" s="18" t="s">
        <v>54</v>
      </c>
      <c r="C530" s="18" t="s">
        <v>35</v>
      </c>
      <c r="D530" s="18" t="s">
        <v>35</v>
      </c>
      <c r="E530" s="19">
        <v>120</v>
      </c>
      <c r="F530" s="18" t="s">
        <v>87</v>
      </c>
      <c r="G530" s="26">
        <v>5</v>
      </c>
    </row>
    <row r="531" spans="1:7">
      <c r="A531" s="21">
        <v>46052</v>
      </c>
      <c r="B531" s="22" t="s">
        <v>54</v>
      </c>
      <c r="C531" s="22" t="s">
        <v>93</v>
      </c>
      <c r="D531" s="22" t="s">
        <v>93</v>
      </c>
      <c r="E531" s="23">
        <v>250</v>
      </c>
      <c r="F531" s="22" t="s">
        <v>87</v>
      </c>
      <c r="G531" s="26">
        <v>5</v>
      </c>
    </row>
    <row r="532" spans="1:7">
      <c r="A532" s="17">
        <v>46052</v>
      </c>
      <c r="B532" s="18" t="s">
        <v>54</v>
      </c>
      <c r="C532" s="18" t="s">
        <v>268</v>
      </c>
      <c r="D532" s="18" t="s">
        <v>95</v>
      </c>
      <c r="E532" s="19">
        <v>500</v>
      </c>
      <c r="F532" s="18" t="s">
        <v>87</v>
      </c>
      <c r="G532" s="26">
        <v>5</v>
      </c>
    </row>
    <row r="533" spans="1:7">
      <c r="A533" s="21">
        <v>46052</v>
      </c>
      <c r="B533" s="22" t="s">
        <v>54</v>
      </c>
      <c r="C533" s="22" t="s">
        <v>43</v>
      </c>
      <c r="D533" s="22" t="s">
        <v>86</v>
      </c>
      <c r="E533" s="23">
        <v>500</v>
      </c>
      <c r="F533" s="22" t="s">
        <v>87</v>
      </c>
      <c r="G533" s="26">
        <v>5</v>
      </c>
    </row>
    <row r="534" spans="1:7">
      <c r="A534" s="17">
        <v>46052</v>
      </c>
      <c r="B534" s="18" t="s">
        <v>54</v>
      </c>
      <c r="C534" s="18" t="s">
        <v>268</v>
      </c>
      <c r="D534" s="18" t="s">
        <v>95</v>
      </c>
      <c r="E534" s="19">
        <v>500</v>
      </c>
      <c r="F534" s="18" t="s">
        <v>87</v>
      </c>
      <c r="G534" s="26">
        <v>5</v>
      </c>
    </row>
    <row r="535" spans="1:7">
      <c r="A535" s="21">
        <v>46052</v>
      </c>
      <c r="B535" s="22" t="s">
        <v>54</v>
      </c>
      <c r="C535" s="22" t="s">
        <v>269</v>
      </c>
      <c r="D535" s="22" t="s">
        <v>35</v>
      </c>
      <c r="E535" s="23">
        <v>430</v>
      </c>
      <c r="F535" s="22" t="s">
        <v>87</v>
      </c>
      <c r="G535" s="26">
        <v>5</v>
      </c>
    </row>
    <row r="536" spans="1:7">
      <c r="A536" s="17">
        <v>46052</v>
      </c>
      <c r="B536" s="18" t="s">
        <v>54</v>
      </c>
      <c r="C536" s="18" t="s">
        <v>121</v>
      </c>
      <c r="D536" s="18" t="s">
        <v>86</v>
      </c>
      <c r="E536" s="19">
        <v>10</v>
      </c>
      <c r="F536" s="18" t="s">
        <v>87</v>
      </c>
      <c r="G536" s="26">
        <v>5</v>
      </c>
    </row>
    <row r="537" spans="1:7">
      <c r="A537" s="21">
        <v>46052</v>
      </c>
      <c r="B537" s="22" t="s">
        <v>54</v>
      </c>
      <c r="C537" s="22" t="s">
        <v>35</v>
      </c>
      <c r="D537" s="22" t="s">
        <v>35</v>
      </c>
      <c r="E537" s="23">
        <v>20</v>
      </c>
      <c r="F537" s="22" t="s">
        <v>87</v>
      </c>
      <c r="G537" s="26">
        <v>5</v>
      </c>
    </row>
    <row r="538" spans="1:7">
      <c r="A538" s="17">
        <v>46052</v>
      </c>
      <c r="B538" s="18" t="s">
        <v>54</v>
      </c>
      <c r="C538" s="18" t="s">
        <v>264</v>
      </c>
      <c r="D538" s="18" t="s">
        <v>35</v>
      </c>
      <c r="E538" s="19">
        <v>430</v>
      </c>
      <c r="F538" s="18" t="s">
        <v>87</v>
      </c>
      <c r="G538" s="26">
        <v>5</v>
      </c>
    </row>
    <row r="539" spans="1:7">
      <c r="A539" s="21">
        <v>46052</v>
      </c>
      <c r="B539" s="22" t="s">
        <v>54</v>
      </c>
      <c r="C539" s="22" t="s">
        <v>35</v>
      </c>
      <c r="D539" s="22" t="s">
        <v>35</v>
      </c>
      <c r="E539" s="23">
        <v>500</v>
      </c>
      <c r="F539" s="22" t="s">
        <v>87</v>
      </c>
      <c r="G539" s="26">
        <v>5</v>
      </c>
    </row>
    <row r="540" spans="1:7">
      <c r="A540" s="17">
        <v>46052</v>
      </c>
      <c r="B540" s="18" t="s">
        <v>54</v>
      </c>
      <c r="C540" s="18" t="s">
        <v>185</v>
      </c>
      <c r="D540" s="18" t="s">
        <v>124</v>
      </c>
      <c r="E540" s="19">
        <v>10</v>
      </c>
      <c r="F540" s="18" t="s">
        <v>87</v>
      </c>
      <c r="G540" s="26">
        <v>5</v>
      </c>
    </row>
    <row r="541" spans="1:7">
      <c r="A541" s="21">
        <v>46052</v>
      </c>
      <c r="B541" s="22" t="s">
        <v>54</v>
      </c>
      <c r="C541" s="22" t="s">
        <v>35</v>
      </c>
      <c r="D541" s="22" t="s">
        <v>35</v>
      </c>
      <c r="E541" s="23">
        <v>20</v>
      </c>
      <c r="F541" s="22" t="s">
        <v>87</v>
      </c>
      <c r="G541" s="26">
        <v>5</v>
      </c>
    </row>
    <row r="542" spans="1:7">
      <c r="A542" s="21">
        <v>46053</v>
      </c>
      <c r="B542" s="22" t="s">
        <v>58</v>
      </c>
      <c r="C542" s="22" t="s">
        <v>35</v>
      </c>
      <c r="D542" s="22" t="s">
        <v>35</v>
      </c>
      <c r="E542" s="23">
        <v>20</v>
      </c>
      <c r="F542" s="22" t="s">
        <v>87</v>
      </c>
      <c r="G542" s="26">
        <v>5</v>
      </c>
    </row>
    <row r="543" spans="1:7">
      <c r="A543" s="17">
        <v>46053</v>
      </c>
      <c r="B543" s="18" t="s">
        <v>58</v>
      </c>
      <c r="C543" s="18" t="s">
        <v>270</v>
      </c>
      <c r="D543" s="18" t="s">
        <v>35</v>
      </c>
      <c r="E543" s="19">
        <v>20</v>
      </c>
      <c r="F543" s="18" t="s">
        <v>87</v>
      </c>
      <c r="G543" s="26">
        <v>5</v>
      </c>
    </row>
    <row r="544" spans="1:7">
      <c r="A544" s="21">
        <v>46053</v>
      </c>
      <c r="B544" s="22" t="s">
        <v>58</v>
      </c>
      <c r="C544" s="22" t="s">
        <v>271</v>
      </c>
      <c r="D544" s="22" t="s">
        <v>99</v>
      </c>
      <c r="E544" s="23">
        <v>10</v>
      </c>
      <c r="F544" s="22" t="s">
        <v>87</v>
      </c>
      <c r="G544" s="26">
        <v>5</v>
      </c>
    </row>
    <row r="545" spans="1:7">
      <c r="A545" s="17">
        <v>46053</v>
      </c>
      <c r="B545" s="18" t="s">
        <v>58</v>
      </c>
      <c r="C545" s="18" t="s">
        <v>93</v>
      </c>
      <c r="D545" s="18" t="s">
        <v>93</v>
      </c>
      <c r="E545" s="19">
        <v>50</v>
      </c>
      <c r="F545" s="18" t="s">
        <v>87</v>
      </c>
      <c r="G545" s="26">
        <v>5</v>
      </c>
    </row>
    <row r="546" spans="1:7">
      <c r="A546" s="21">
        <v>46053</v>
      </c>
      <c r="B546" s="22" t="s">
        <v>58</v>
      </c>
      <c r="C546" s="22" t="s">
        <v>43</v>
      </c>
      <c r="D546" s="22" t="s">
        <v>86</v>
      </c>
      <c r="E546" s="23">
        <v>5</v>
      </c>
      <c r="F546" s="22" t="s">
        <v>87</v>
      </c>
      <c r="G546" s="26">
        <v>5</v>
      </c>
    </row>
    <row r="547" spans="1:7">
      <c r="A547" s="17">
        <v>46053</v>
      </c>
      <c r="B547" s="18" t="s">
        <v>58</v>
      </c>
      <c r="C547" s="18" t="s">
        <v>35</v>
      </c>
      <c r="D547" s="18" t="s">
        <v>35</v>
      </c>
      <c r="E547" s="19">
        <v>10</v>
      </c>
      <c r="F547" s="18" t="s">
        <v>87</v>
      </c>
      <c r="G547" s="26">
        <v>5</v>
      </c>
    </row>
    <row r="548" spans="1:7">
      <c r="A548" s="21">
        <v>46053</v>
      </c>
      <c r="B548" s="22" t="s">
        <v>58</v>
      </c>
      <c r="C548" s="22" t="s">
        <v>35</v>
      </c>
      <c r="D548" s="22" t="s">
        <v>35</v>
      </c>
      <c r="E548" s="23">
        <v>10</v>
      </c>
      <c r="F548" s="22" t="s">
        <v>87</v>
      </c>
      <c r="G548" s="26">
        <v>5</v>
      </c>
    </row>
    <row r="549" spans="1:7">
      <c r="A549" s="17">
        <v>46053</v>
      </c>
      <c r="B549" s="18" t="s">
        <v>58</v>
      </c>
      <c r="C549" s="18" t="s">
        <v>35</v>
      </c>
      <c r="D549" s="18" t="s">
        <v>35</v>
      </c>
      <c r="E549" s="19">
        <v>70</v>
      </c>
      <c r="F549" s="18" t="s">
        <v>87</v>
      </c>
      <c r="G549" s="26">
        <v>5</v>
      </c>
    </row>
    <row r="550" spans="1:7">
      <c r="A550" s="21">
        <v>46053</v>
      </c>
      <c r="B550" s="22" t="s">
        <v>58</v>
      </c>
      <c r="C550" s="22" t="s">
        <v>272</v>
      </c>
      <c r="D550" s="22" t="s">
        <v>95</v>
      </c>
      <c r="E550" s="23">
        <v>500</v>
      </c>
      <c r="F550" s="22" t="s">
        <v>87</v>
      </c>
      <c r="G550" s="26">
        <v>5</v>
      </c>
    </row>
    <row r="551" spans="1:7">
      <c r="A551" s="17">
        <v>46053</v>
      </c>
      <c r="B551" s="18" t="s">
        <v>58</v>
      </c>
      <c r="C551" s="18" t="s">
        <v>177</v>
      </c>
      <c r="D551" s="18" t="s">
        <v>35</v>
      </c>
      <c r="E551" s="19">
        <v>140</v>
      </c>
      <c r="F551" s="18" t="s">
        <v>87</v>
      </c>
      <c r="G551" s="26">
        <v>5</v>
      </c>
    </row>
    <row r="552" spans="1:7">
      <c r="A552" s="21">
        <v>46053</v>
      </c>
      <c r="B552" s="22" t="s">
        <v>58</v>
      </c>
      <c r="C552" s="22" t="s">
        <v>273</v>
      </c>
      <c r="D552" s="22" t="s">
        <v>105</v>
      </c>
      <c r="E552" s="23">
        <v>100</v>
      </c>
      <c r="F552" s="22" t="s">
        <v>87</v>
      </c>
      <c r="G552" s="26">
        <v>5</v>
      </c>
    </row>
    <row r="553" spans="1:7">
      <c r="A553" s="17">
        <v>46053</v>
      </c>
      <c r="B553" s="18" t="s">
        <v>58</v>
      </c>
      <c r="C553" s="18" t="s">
        <v>93</v>
      </c>
      <c r="D553" s="18" t="s">
        <v>93</v>
      </c>
      <c r="E553" s="19">
        <v>50</v>
      </c>
      <c r="F553" s="18" t="s">
        <v>87</v>
      </c>
      <c r="G553" s="26">
        <v>5</v>
      </c>
    </row>
    <row r="554" spans="1:7">
      <c r="A554" s="21">
        <v>46053</v>
      </c>
      <c r="B554" s="22" t="s">
        <v>58</v>
      </c>
      <c r="C554" s="22" t="s">
        <v>274</v>
      </c>
      <c r="D554" s="22" t="s">
        <v>124</v>
      </c>
      <c r="E554" s="23">
        <v>200</v>
      </c>
      <c r="F554" s="22" t="s">
        <v>87</v>
      </c>
      <c r="G554" s="26">
        <v>5</v>
      </c>
    </row>
    <row r="555" spans="1:7">
      <c r="A555" s="17">
        <v>46053</v>
      </c>
      <c r="B555" s="18" t="s">
        <v>58</v>
      </c>
      <c r="C555" s="18" t="s">
        <v>121</v>
      </c>
      <c r="D555" s="18" t="s">
        <v>86</v>
      </c>
      <c r="E555" s="19">
        <v>10</v>
      </c>
      <c r="F555" s="18" t="s">
        <v>87</v>
      </c>
      <c r="G555" s="26">
        <v>5</v>
      </c>
    </row>
    <row r="556" spans="1:7">
      <c r="A556" s="21">
        <v>46053</v>
      </c>
      <c r="B556" s="22" t="s">
        <v>58</v>
      </c>
      <c r="C556" s="22" t="s">
        <v>71</v>
      </c>
      <c r="D556" s="22" t="s">
        <v>71</v>
      </c>
      <c r="E556" s="23">
        <v>60</v>
      </c>
      <c r="F556" s="22" t="s">
        <v>87</v>
      </c>
      <c r="G556" s="26">
        <v>5</v>
      </c>
    </row>
    <row r="557" spans="1:7">
      <c r="A557" s="17">
        <v>46053</v>
      </c>
      <c r="B557" s="18" t="s">
        <v>58</v>
      </c>
      <c r="C557" s="18" t="s">
        <v>177</v>
      </c>
      <c r="D557" s="18" t="s">
        <v>35</v>
      </c>
      <c r="E557" s="19">
        <v>100</v>
      </c>
      <c r="F557" s="18" t="s">
        <v>87</v>
      </c>
      <c r="G557" s="26">
        <v>5</v>
      </c>
    </row>
    <row r="558" spans="1:7">
      <c r="A558" s="21">
        <v>46053</v>
      </c>
      <c r="B558" s="22" t="s">
        <v>58</v>
      </c>
      <c r="C558" s="22" t="s">
        <v>93</v>
      </c>
      <c r="D558" s="22" t="s">
        <v>93</v>
      </c>
      <c r="E558" s="23">
        <v>50</v>
      </c>
      <c r="F558" s="22" t="s">
        <v>87</v>
      </c>
      <c r="G558" s="26">
        <v>5</v>
      </c>
    </row>
    <row r="559" spans="1:7">
      <c r="A559" s="17">
        <v>46053</v>
      </c>
      <c r="B559" s="18" t="s">
        <v>58</v>
      </c>
      <c r="C559" s="18" t="s">
        <v>93</v>
      </c>
      <c r="D559" s="18" t="s">
        <v>93</v>
      </c>
      <c r="E559" s="19">
        <v>50</v>
      </c>
      <c r="F559" s="18" t="s">
        <v>87</v>
      </c>
      <c r="G559" s="26">
        <v>5</v>
      </c>
    </row>
    <row r="560" spans="1:7">
      <c r="A560" s="21">
        <v>46053</v>
      </c>
      <c r="B560" s="22" t="s">
        <v>58</v>
      </c>
      <c r="C560" s="22" t="s">
        <v>35</v>
      </c>
      <c r="D560" s="22" t="s">
        <v>35</v>
      </c>
      <c r="E560" s="23">
        <v>451</v>
      </c>
      <c r="F560" s="22" t="s">
        <v>87</v>
      </c>
      <c r="G560" s="26">
        <v>5</v>
      </c>
    </row>
    <row r="561" spans="1:7">
      <c r="A561" s="17">
        <v>46053</v>
      </c>
      <c r="B561" s="18" t="s">
        <v>58</v>
      </c>
      <c r="C561" s="18" t="s">
        <v>69</v>
      </c>
      <c r="D561" s="18" t="s">
        <v>69</v>
      </c>
      <c r="E561" s="19">
        <v>290</v>
      </c>
      <c r="F561" s="18" t="s">
        <v>87</v>
      </c>
      <c r="G561" s="26">
        <v>5</v>
      </c>
    </row>
    <row r="562" spans="1:7">
      <c r="A562" s="21">
        <v>46053</v>
      </c>
      <c r="B562" s="22" t="s">
        <v>58</v>
      </c>
      <c r="C562" s="22" t="s">
        <v>245</v>
      </c>
      <c r="D562" s="22" t="s">
        <v>99</v>
      </c>
      <c r="E562" s="23">
        <v>10</v>
      </c>
      <c r="F562" s="22" t="s">
        <v>87</v>
      </c>
      <c r="G562" s="26">
        <v>5</v>
      </c>
    </row>
    <row r="563" spans="1:7">
      <c r="A563" s="17">
        <v>46053</v>
      </c>
      <c r="B563" s="18" t="s">
        <v>58</v>
      </c>
      <c r="C563" s="18" t="s">
        <v>275</v>
      </c>
      <c r="D563" s="18" t="s">
        <v>105</v>
      </c>
      <c r="E563" s="19">
        <v>200</v>
      </c>
      <c r="F563" s="18" t="s">
        <v>87</v>
      </c>
      <c r="G563" s="26">
        <v>5</v>
      </c>
    </row>
    <row r="564" spans="1:7">
      <c r="A564" s="17">
        <v>46053</v>
      </c>
      <c r="B564" s="18" t="s">
        <v>58</v>
      </c>
      <c r="C564" s="18" t="s">
        <v>93</v>
      </c>
      <c r="D564" s="18" t="s">
        <v>93</v>
      </c>
      <c r="E564" s="19">
        <v>60</v>
      </c>
      <c r="F564" s="18" t="s">
        <v>87</v>
      </c>
      <c r="G564" s="26">
        <v>5</v>
      </c>
    </row>
    <row r="565" spans="1:7">
      <c r="A565" s="21">
        <v>46053</v>
      </c>
      <c r="B565" s="22" t="s">
        <v>58</v>
      </c>
      <c r="C565" s="22" t="s">
        <v>121</v>
      </c>
      <c r="D565" s="22" t="s">
        <v>86</v>
      </c>
      <c r="E565" s="23">
        <v>10</v>
      </c>
      <c r="F565" s="22" t="s">
        <v>87</v>
      </c>
      <c r="G565" s="26">
        <v>5</v>
      </c>
    </row>
    <row r="566" spans="1:7">
      <c r="A566" s="17">
        <v>46053</v>
      </c>
      <c r="B566" s="18" t="s">
        <v>58</v>
      </c>
      <c r="C566" s="18" t="s">
        <v>276</v>
      </c>
      <c r="D566" s="18" t="s">
        <v>35</v>
      </c>
      <c r="E566" s="19">
        <v>50</v>
      </c>
      <c r="F566" s="18" t="s">
        <v>87</v>
      </c>
      <c r="G566" s="26">
        <v>5</v>
      </c>
    </row>
    <row r="567" spans="1:7">
      <c r="A567" s="21">
        <v>46053</v>
      </c>
      <c r="B567" s="22" t="s">
        <v>58</v>
      </c>
      <c r="C567" s="22" t="s">
        <v>277</v>
      </c>
      <c r="D567" s="22" t="s">
        <v>35</v>
      </c>
      <c r="E567" s="23">
        <v>40</v>
      </c>
      <c r="F567" s="22" t="s">
        <v>87</v>
      </c>
      <c r="G567" s="26">
        <v>5</v>
      </c>
    </row>
    <row r="568" spans="1:7">
      <c r="A568" s="17">
        <v>46053</v>
      </c>
      <c r="B568" s="18" t="s">
        <v>58</v>
      </c>
      <c r="C568" s="18" t="s">
        <v>278</v>
      </c>
      <c r="D568" s="18" t="s">
        <v>35</v>
      </c>
      <c r="E568" s="19">
        <v>260</v>
      </c>
      <c r="F568" s="18" t="s">
        <v>87</v>
      </c>
      <c r="G568" s="26">
        <v>5</v>
      </c>
    </row>
    <row r="569" spans="1:7">
      <c r="A569" s="21">
        <v>46053</v>
      </c>
      <c r="B569" s="22" t="s">
        <v>58</v>
      </c>
      <c r="C569" s="22" t="s">
        <v>279</v>
      </c>
      <c r="D569" s="22" t="s">
        <v>35</v>
      </c>
      <c r="E569" s="23">
        <v>100</v>
      </c>
      <c r="F569" s="22" t="s">
        <v>87</v>
      </c>
      <c r="G569" s="26">
        <v>5</v>
      </c>
    </row>
    <row r="570" spans="1:7">
      <c r="A570" s="17">
        <v>46053</v>
      </c>
      <c r="B570" s="18" t="s">
        <v>58</v>
      </c>
      <c r="C570" s="18" t="s">
        <v>280</v>
      </c>
      <c r="D570" s="18" t="s">
        <v>35</v>
      </c>
      <c r="E570" s="19">
        <v>300</v>
      </c>
      <c r="F570" s="18" t="s">
        <v>87</v>
      </c>
      <c r="G570" s="26">
        <v>5</v>
      </c>
    </row>
    <row r="571" spans="1:7">
      <c r="A571" s="21">
        <v>46053</v>
      </c>
      <c r="B571" s="22" t="s">
        <v>58</v>
      </c>
      <c r="C571" s="22" t="s">
        <v>277</v>
      </c>
      <c r="D571" s="22" t="s">
        <v>107</v>
      </c>
      <c r="E571" s="23">
        <v>100</v>
      </c>
      <c r="F571" s="22" t="s">
        <v>87</v>
      </c>
      <c r="G571" s="26">
        <v>5</v>
      </c>
    </row>
    <row r="572" spans="1:7">
      <c r="A572" s="17">
        <v>46053</v>
      </c>
      <c r="B572" s="18" t="s">
        <v>58</v>
      </c>
      <c r="C572" s="18" t="s">
        <v>121</v>
      </c>
      <c r="D572" s="18" t="s">
        <v>86</v>
      </c>
      <c r="E572" s="19">
        <v>30</v>
      </c>
      <c r="F572" s="18" t="s">
        <v>87</v>
      </c>
      <c r="G572" s="26">
        <v>5</v>
      </c>
    </row>
    <row r="573" spans="1:7">
      <c r="A573" s="21">
        <v>46053</v>
      </c>
      <c r="B573" s="22" t="s">
        <v>58</v>
      </c>
      <c r="C573" s="22" t="s">
        <v>281</v>
      </c>
      <c r="D573" s="22" t="s">
        <v>48</v>
      </c>
      <c r="E573" s="23">
        <v>100</v>
      </c>
      <c r="F573" s="22" t="s">
        <v>87</v>
      </c>
      <c r="G573" s="26">
        <v>5</v>
      </c>
    </row>
    <row r="574" spans="1:7">
      <c r="A574" s="17">
        <v>46053</v>
      </c>
      <c r="B574" s="18" t="s">
        <v>58</v>
      </c>
      <c r="C574" s="18" t="s">
        <v>93</v>
      </c>
      <c r="D574" s="18" t="s">
        <v>93</v>
      </c>
      <c r="E574" s="19">
        <v>50</v>
      </c>
      <c r="F574" s="18" t="s">
        <v>87</v>
      </c>
      <c r="G574" s="26">
        <v>5</v>
      </c>
    </row>
    <row r="575" spans="1:7">
      <c r="A575" s="21">
        <v>46053</v>
      </c>
      <c r="B575" s="22" t="s">
        <v>58</v>
      </c>
      <c r="C575" s="22" t="s">
        <v>35</v>
      </c>
      <c r="D575" s="22" t="s">
        <v>35</v>
      </c>
      <c r="E575" s="23">
        <v>300</v>
      </c>
      <c r="F575" s="22" t="s">
        <v>87</v>
      </c>
      <c r="G575" s="26">
        <v>5</v>
      </c>
    </row>
    <row r="576" spans="1:7">
      <c r="A576" s="17">
        <v>46053</v>
      </c>
      <c r="B576" s="18" t="s">
        <v>58</v>
      </c>
      <c r="C576" s="18" t="s">
        <v>282</v>
      </c>
      <c r="D576" s="18" t="s">
        <v>35</v>
      </c>
      <c r="E576" s="19">
        <v>135</v>
      </c>
      <c r="F576" s="18" t="s">
        <v>87</v>
      </c>
      <c r="G576" s="26">
        <v>5</v>
      </c>
    </row>
    <row r="577" spans="1:7">
      <c r="A577" s="17">
        <v>46055</v>
      </c>
      <c r="B577" s="18" t="s">
        <v>37</v>
      </c>
      <c r="C577" s="18" t="s">
        <v>35</v>
      </c>
      <c r="D577" s="18" t="s">
        <v>35</v>
      </c>
      <c r="E577" s="19">
        <v>250</v>
      </c>
      <c r="F577" s="18" t="s">
        <v>283</v>
      </c>
      <c r="G577" s="26">
        <v>6</v>
      </c>
    </row>
    <row r="578" spans="1:7">
      <c r="A578" s="21">
        <v>46055</v>
      </c>
      <c r="B578" s="22" t="s">
        <v>37</v>
      </c>
      <c r="C578" s="22" t="s">
        <v>245</v>
      </c>
      <c r="D578" s="22" t="s">
        <v>99</v>
      </c>
      <c r="E578" s="23">
        <v>20</v>
      </c>
      <c r="F578" s="22" t="s">
        <v>283</v>
      </c>
      <c r="G578" s="26">
        <v>6</v>
      </c>
    </row>
    <row r="579" spans="1:7">
      <c r="A579" s="10" t="str">
        <f>IF(DATA_INPUT!A2="","",DATA_INPUT!A2)</f>
        <v/>
      </c>
      <c r="B579" t="str">
        <f>IF(A579="","",TEXT(A579,"dddd"))</f>
        <v/>
      </c>
      <c r="C579" t="str">
        <f>IF(DATA_INPUT!B2="","",DATA_INPUT!B2)</f>
        <v/>
      </c>
      <c r="D579" t="str">
        <f>IF(DATA_INPUT!C2="","",DATA_INPUT!C2)</f>
        <v/>
      </c>
      <c r="E579" s="27" t="str">
        <f>IF(DATA_INPUT!D2="","",DATA_INPUT!D2)</f>
        <v/>
      </c>
      <c r="F579" t="str">
        <f>IF(A579="","",TEXT(A579,"mmm yyyy"))</f>
        <v/>
      </c>
      <c r="G579" t="str">
        <f>IF(A579="","",WEEKNUM(A579))</f>
        <v/>
      </c>
    </row>
    <row r="580" spans="1:7">
      <c r="A580" s="10" t="str">
        <f>IF(DATA_INPUT!A3="","",DATA_INPUT!A3)</f>
        <v/>
      </c>
      <c r="B580" t="str">
        <f t="shared" ref="B580:B643" si="0">IF(A580="","",TEXT(A580,"dddd"))</f>
        <v/>
      </c>
      <c r="C580" t="str">
        <f>IF(DATA_INPUT!B3="","",DATA_INPUT!B3)</f>
        <v/>
      </c>
      <c r="D580" t="str">
        <f>IF(DATA_INPUT!C3="","",DATA_INPUT!C3)</f>
        <v/>
      </c>
      <c r="E580" s="27" t="str">
        <f>IF(DATA_INPUT!D3="","",DATA_INPUT!D3)</f>
        <v/>
      </c>
      <c r="F580" t="str">
        <f t="shared" ref="F580:F643" si="1">IF(A580="","",TEXT(A580,"mmm yyyy"))</f>
        <v/>
      </c>
      <c r="G580" t="str">
        <f t="shared" ref="G580:G643" si="2">IF(A580="","",WEEKNUM(A580))</f>
        <v/>
      </c>
    </row>
    <row r="581" spans="1:7">
      <c r="A581" s="10" t="str">
        <f>IF(DATA_INPUT!A4="","",DATA_INPUT!A4)</f>
        <v/>
      </c>
      <c r="B581" t="str">
        <f t="shared" si="0"/>
        <v/>
      </c>
      <c r="C581" t="str">
        <f>IF(DATA_INPUT!B4="","",DATA_INPUT!B4)</f>
        <v/>
      </c>
      <c r="D581" t="str">
        <f>IF(DATA_INPUT!C4="","",DATA_INPUT!C4)</f>
        <v/>
      </c>
      <c r="E581" s="27" t="str">
        <f>IF(DATA_INPUT!D4="","",DATA_INPUT!D4)</f>
        <v/>
      </c>
      <c r="F581" t="str">
        <f t="shared" si="1"/>
        <v/>
      </c>
      <c r="G581" t="str">
        <f t="shared" si="2"/>
        <v/>
      </c>
    </row>
    <row r="582" spans="1:7">
      <c r="A582" s="10" t="str">
        <f>IF(DATA_INPUT!A5="","",DATA_INPUT!A5)</f>
        <v/>
      </c>
      <c r="B582" t="str">
        <f t="shared" si="0"/>
        <v/>
      </c>
      <c r="C582" t="str">
        <f>IF(DATA_INPUT!B5="","",DATA_INPUT!B5)</f>
        <v/>
      </c>
      <c r="D582" t="str">
        <f>IF(DATA_INPUT!C5="","",DATA_INPUT!C5)</f>
        <v/>
      </c>
      <c r="E582" s="27" t="str">
        <f>IF(DATA_INPUT!D5="","",DATA_INPUT!D5)</f>
        <v/>
      </c>
      <c r="F582" t="str">
        <f t="shared" si="1"/>
        <v/>
      </c>
      <c r="G582" t="str">
        <f t="shared" si="2"/>
        <v/>
      </c>
    </row>
    <row r="583" spans="1:7">
      <c r="A583" s="10" t="str">
        <f>IF(DATA_INPUT!A6="","",DATA_INPUT!A6)</f>
        <v/>
      </c>
      <c r="B583" t="str">
        <f t="shared" si="0"/>
        <v/>
      </c>
      <c r="C583" t="str">
        <f>IF(DATA_INPUT!B6="","",DATA_INPUT!B6)</f>
        <v/>
      </c>
      <c r="D583" t="str">
        <f>IF(DATA_INPUT!C6="","",DATA_INPUT!C6)</f>
        <v/>
      </c>
      <c r="E583" s="27" t="str">
        <f>IF(DATA_INPUT!D6="","",DATA_INPUT!D6)</f>
        <v/>
      </c>
      <c r="F583" t="str">
        <f t="shared" si="1"/>
        <v/>
      </c>
      <c r="G583" t="str">
        <f t="shared" si="2"/>
        <v/>
      </c>
    </row>
    <row r="584" spans="1:7">
      <c r="A584" s="10" t="str">
        <f>IF(DATA_INPUT!A7="","",DATA_INPUT!A7)</f>
        <v/>
      </c>
      <c r="B584" t="str">
        <f t="shared" si="0"/>
        <v/>
      </c>
      <c r="C584" t="str">
        <f>IF(DATA_INPUT!B7="","",DATA_INPUT!B7)</f>
        <v/>
      </c>
      <c r="D584" t="str">
        <f>IF(DATA_INPUT!C7="","",DATA_INPUT!C7)</f>
        <v/>
      </c>
      <c r="E584" s="27" t="str">
        <f>IF(DATA_INPUT!D7="","",DATA_INPUT!D7)</f>
        <v/>
      </c>
      <c r="F584" t="str">
        <f t="shared" si="1"/>
        <v/>
      </c>
      <c r="G584" t="str">
        <f t="shared" si="2"/>
        <v/>
      </c>
    </row>
    <row r="585" spans="1:7">
      <c r="A585" s="10" t="str">
        <f>IF(DATA_INPUT!A8="","",DATA_INPUT!A8)</f>
        <v/>
      </c>
      <c r="B585" t="str">
        <f t="shared" si="0"/>
        <v/>
      </c>
      <c r="C585" t="str">
        <f>IF(DATA_INPUT!B8="","",DATA_INPUT!B8)</f>
        <v/>
      </c>
      <c r="D585" t="str">
        <f>IF(DATA_INPUT!C8="","",DATA_INPUT!C8)</f>
        <v/>
      </c>
      <c r="E585" s="27" t="str">
        <f>IF(DATA_INPUT!D8="","",DATA_INPUT!D8)</f>
        <v/>
      </c>
      <c r="F585" t="str">
        <f t="shared" si="1"/>
        <v/>
      </c>
      <c r="G585" t="str">
        <f t="shared" si="2"/>
        <v/>
      </c>
    </row>
    <row r="586" spans="1:7">
      <c r="A586" s="10" t="str">
        <f>IF(DATA_INPUT!A9="","",DATA_INPUT!A9)</f>
        <v/>
      </c>
      <c r="B586" t="str">
        <f t="shared" si="0"/>
        <v/>
      </c>
      <c r="C586" t="str">
        <f>IF(DATA_INPUT!B9="","",DATA_INPUT!B9)</f>
        <v/>
      </c>
      <c r="D586" t="str">
        <f>IF(DATA_INPUT!C9="","",DATA_INPUT!C9)</f>
        <v/>
      </c>
      <c r="E586" s="27" t="str">
        <f>IF(DATA_INPUT!D9="","",DATA_INPUT!D9)</f>
        <v/>
      </c>
      <c r="F586" t="str">
        <f t="shared" si="1"/>
        <v/>
      </c>
      <c r="G586" t="str">
        <f t="shared" si="2"/>
        <v/>
      </c>
    </row>
    <row r="587" spans="1:7">
      <c r="A587" s="10" t="str">
        <f>IF(DATA_INPUT!A10="","",DATA_INPUT!A10)</f>
        <v/>
      </c>
      <c r="B587" t="str">
        <f t="shared" si="0"/>
        <v/>
      </c>
      <c r="C587" t="str">
        <f>IF(DATA_INPUT!B10="","",DATA_INPUT!B10)</f>
        <v/>
      </c>
      <c r="D587" t="str">
        <f>IF(DATA_INPUT!C10="","",DATA_INPUT!C10)</f>
        <v/>
      </c>
      <c r="E587" s="27" t="str">
        <f>IF(DATA_INPUT!D10="","",DATA_INPUT!D10)</f>
        <v/>
      </c>
      <c r="F587" t="str">
        <f t="shared" si="1"/>
        <v/>
      </c>
      <c r="G587" t="str">
        <f t="shared" si="2"/>
        <v/>
      </c>
    </row>
    <row r="588" spans="1:7">
      <c r="A588" s="10" t="str">
        <f>IF(DATA_INPUT!A11="","",DATA_INPUT!A11)</f>
        <v/>
      </c>
      <c r="B588" t="str">
        <f t="shared" si="0"/>
        <v/>
      </c>
      <c r="C588" t="str">
        <f>IF(DATA_INPUT!B11="","",DATA_INPUT!B11)</f>
        <v/>
      </c>
      <c r="D588" t="str">
        <f>IF(DATA_INPUT!C11="","",DATA_INPUT!C11)</f>
        <v/>
      </c>
      <c r="E588" s="27" t="str">
        <f>IF(DATA_INPUT!D11="","",DATA_INPUT!D11)</f>
        <v/>
      </c>
      <c r="F588" t="str">
        <f t="shared" si="1"/>
        <v/>
      </c>
      <c r="G588" t="str">
        <f t="shared" si="2"/>
        <v/>
      </c>
    </row>
    <row r="589" spans="1:7">
      <c r="A589" s="10" t="str">
        <f>IF(DATA_INPUT!A12="","",DATA_INPUT!A12)</f>
        <v/>
      </c>
      <c r="B589" t="str">
        <f t="shared" si="0"/>
        <v/>
      </c>
      <c r="C589" t="str">
        <f>IF(DATA_INPUT!B12="","",DATA_INPUT!B12)</f>
        <v/>
      </c>
      <c r="D589" t="str">
        <f>IF(DATA_INPUT!C12="","",DATA_INPUT!C12)</f>
        <v/>
      </c>
      <c r="E589" s="27" t="str">
        <f>IF(DATA_INPUT!D12="","",DATA_INPUT!D12)</f>
        <v/>
      </c>
      <c r="F589" t="str">
        <f t="shared" si="1"/>
        <v/>
      </c>
      <c r="G589" t="str">
        <f t="shared" si="2"/>
        <v/>
      </c>
    </row>
    <row r="590" spans="1:7">
      <c r="A590" s="10" t="str">
        <f>IF(DATA_INPUT!A13="","",DATA_INPUT!A13)</f>
        <v/>
      </c>
      <c r="B590" t="str">
        <f t="shared" si="0"/>
        <v/>
      </c>
      <c r="C590" t="str">
        <f>IF(DATA_INPUT!B13="","",DATA_INPUT!B13)</f>
        <v/>
      </c>
      <c r="D590" t="str">
        <f>IF(DATA_INPUT!C13="","",DATA_INPUT!C13)</f>
        <v/>
      </c>
      <c r="E590" s="27" t="str">
        <f>IF(DATA_INPUT!D13="","",DATA_INPUT!D13)</f>
        <v/>
      </c>
      <c r="F590" t="str">
        <f t="shared" si="1"/>
        <v/>
      </c>
      <c r="G590" t="str">
        <f t="shared" si="2"/>
        <v/>
      </c>
    </row>
    <row r="591" spans="1:7">
      <c r="A591" s="10" t="str">
        <f>IF(DATA_INPUT!A14="","",DATA_INPUT!A14)</f>
        <v/>
      </c>
      <c r="B591" t="str">
        <f t="shared" si="0"/>
        <v/>
      </c>
      <c r="C591" t="str">
        <f>IF(DATA_INPUT!B14="","",DATA_INPUT!B14)</f>
        <v/>
      </c>
      <c r="D591" t="str">
        <f>IF(DATA_INPUT!C14="","",DATA_INPUT!C14)</f>
        <v/>
      </c>
      <c r="E591" s="27" t="str">
        <f>IF(DATA_INPUT!D14="","",DATA_INPUT!D14)</f>
        <v/>
      </c>
      <c r="F591" t="str">
        <f t="shared" si="1"/>
        <v/>
      </c>
      <c r="G591" t="str">
        <f t="shared" si="2"/>
        <v/>
      </c>
    </row>
    <row r="592" spans="1:7">
      <c r="A592" s="10" t="str">
        <f>IF(DATA_INPUT!A15="","",DATA_INPUT!A15)</f>
        <v/>
      </c>
      <c r="B592" t="str">
        <f t="shared" si="0"/>
        <v/>
      </c>
      <c r="C592" t="str">
        <f>IF(DATA_INPUT!B15="","",DATA_INPUT!B15)</f>
        <v/>
      </c>
      <c r="D592" t="str">
        <f>IF(DATA_INPUT!C15="","",DATA_INPUT!C15)</f>
        <v/>
      </c>
      <c r="E592" s="27" t="str">
        <f>IF(DATA_INPUT!D15="","",DATA_INPUT!D15)</f>
        <v/>
      </c>
      <c r="F592" t="str">
        <f t="shared" si="1"/>
        <v/>
      </c>
      <c r="G592" t="str">
        <f t="shared" si="2"/>
        <v/>
      </c>
    </row>
    <row r="593" spans="1:7">
      <c r="A593" s="10" t="str">
        <f>IF(DATA_INPUT!A16="","",DATA_INPUT!A16)</f>
        <v/>
      </c>
      <c r="B593" t="str">
        <f t="shared" si="0"/>
        <v/>
      </c>
      <c r="C593" t="str">
        <f>IF(DATA_INPUT!B16="","",DATA_INPUT!B16)</f>
        <v/>
      </c>
      <c r="D593" t="str">
        <f>IF(DATA_INPUT!C16="","",DATA_INPUT!C16)</f>
        <v/>
      </c>
      <c r="E593" s="27" t="str">
        <f>IF(DATA_INPUT!D16="","",DATA_INPUT!D16)</f>
        <v/>
      </c>
      <c r="F593" t="str">
        <f t="shared" si="1"/>
        <v/>
      </c>
      <c r="G593" t="str">
        <f t="shared" si="2"/>
        <v/>
      </c>
    </row>
    <row r="594" spans="1:7">
      <c r="A594" s="10" t="str">
        <f>IF(DATA_INPUT!A17="","",DATA_INPUT!A17)</f>
        <v/>
      </c>
      <c r="B594" t="str">
        <f t="shared" si="0"/>
        <v/>
      </c>
      <c r="C594" t="str">
        <f>IF(DATA_INPUT!B17="","",DATA_INPUT!B17)</f>
        <v/>
      </c>
      <c r="D594" t="str">
        <f>IF(DATA_INPUT!C17="","",DATA_INPUT!C17)</f>
        <v/>
      </c>
      <c r="E594" s="27" t="str">
        <f>IF(DATA_INPUT!D17="","",DATA_INPUT!D17)</f>
        <v/>
      </c>
      <c r="F594" t="str">
        <f t="shared" si="1"/>
        <v/>
      </c>
      <c r="G594" t="str">
        <f t="shared" si="2"/>
        <v/>
      </c>
    </row>
    <row r="595" spans="1:7">
      <c r="A595" s="10" t="str">
        <f>IF(DATA_INPUT!A18="","",DATA_INPUT!A18)</f>
        <v/>
      </c>
      <c r="B595" t="str">
        <f t="shared" si="0"/>
        <v/>
      </c>
      <c r="C595" t="str">
        <f>IF(DATA_INPUT!B18="","",DATA_INPUT!B18)</f>
        <v/>
      </c>
      <c r="D595" t="str">
        <f>IF(DATA_INPUT!C18="","",DATA_INPUT!C18)</f>
        <v/>
      </c>
      <c r="E595" s="27" t="str">
        <f>IF(DATA_INPUT!D18="","",DATA_INPUT!D18)</f>
        <v/>
      </c>
      <c r="F595" t="str">
        <f t="shared" si="1"/>
        <v/>
      </c>
      <c r="G595" t="str">
        <f t="shared" si="2"/>
        <v/>
      </c>
    </row>
    <row r="596" spans="1:7">
      <c r="A596" s="10" t="str">
        <f>IF(DATA_INPUT!A19="","",DATA_INPUT!A19)</f>
        <v/>
      </c>
      <c r="B596" t="str">
        <f t="shared" si="0"/>
        <v/>
      </c>
      <c r="C596" t="str">
        <f>IF(DATA_INPUT!B19="","",DATA_INPUT!B19)</f>
        <v/>
      </c>
      <c r="D596" t="str">
        <f>IF(DATA_INPUT!C19="","",DATA_INPUT!C19)</f>
        <v/>
      </c>
      <c r="E596" s="27" t="str">
        <f>IF(DATA_INPUT!D19="","",DATA_INPUT!D19)</f>
        <v/>
      </c>
      <c r="F596" t="str">
        <f t="shared" si="1"/>
        <v/>
      </c>
      <c r="G596" t="str">
        <f t="shared" si="2"/>
        <v/>
      </c>
    </row>
    <row r="597" spans="1:7">
      <c r="A597" s="10" t="str">
        <f>IF(DATA_INPUT!A20="","",DATA_INPUT!A20)</f>
        <v/>
      </c>
      <c r="B597" t="str">
        <f t="shared" si="0"/>
        <v/>
      </c>
      <c r="C597" t="str">
        <f>IF(DATA_INPUT!B20="","",DATA_INPUT!B20)</f>
        <v/>
      </c>
      <c r="D597" t="str">
        <f>IF(DATA_INPUT!C20="","",DATA_INPUT!C20)</f>
        <v/>
      </c>
      <c r="E597" s="27" t="str">
        <f>IF(DATA_INPUT!D20="","",DATA_INPUT!D20)</f>
        <v/>
      </c>
      <c r="F597" t="str">
        <f t="shared" si="1"/>
        <v/>
      </c>
      <c r="G597" t="str">
        <f t="shared" si="2"/>
        <v/>
      </c>
    </row>
    <row r="598" spans="1:7">
      <c r="A598" s="10" t="str">
        <f>IF(DATA_INPUT!A21="","",DATA_INPUT!A21)</f>
        <v/>
      </c>
      <c r="B598" t="str">
        <f t="shared" si="0"/>
        <v/>
      </c>
      <c r="C598" t="str">
        <f>IF(DATA_INPUT!B21="","",DATA_INPUT!B21)</f>
        <v/>
      </c>
      <c r="D598" t="str">
        <f>IF(DATA_INPUT!C21="","",DATA_INPUT!C21)</f>
        <v/>
      </c>
      <c r="E598" s="27" t="str">
        <f>IF(DATA_INPUT!D21="","",DATA_INPUT!D21)</f>
        <v/>
      </c>
      <c r="F598" t="str">
        <f t="shared" si="1"/>
        <v/>
      </c>
      <c r="G598" t="str">
        <f t="shared" si="2"/>
        <v/>
      </c>
    </row>
    <row r="599" spans="1:7">
      <c r="A599" s="10" t="str">
        <f>IF(DATA_INPUT!A22="","",DATA_INPUT!A22)</f>
        <v/>
      </c>
      <c r="B599" t="str">
        <f t="shared" si="0"/>
        <v/>
      </c>
      <c r="C599" t="str">
        <f>IF(DATA_INPUT!B22="","",DATA_INPUT!B22)</f>
        <v/>
      </c>
      <c r="D599" t="str">
        <f>IF(DATA_INPUT!C22="","",DATA_INPUT!C22)</f>
        <v/>
      </c>
      <c r="E599" s="27" t="str">
        <f>IF(DATA_INPUT!D22="","",DATA_INPUT!D22)</f>
        <v/>
      </c>
      <c r="F599" t="str">
        <f t="shared" si="1"/>
        <v/>
      </c>
      <c r="G599" t="str">
        <f t="shared" si="2"/>
        <v/>
      </c>
    </row>
    <row r="600" spans="1:7">
      <c r="A600" s="10" t="str">
        <f>IF(DATA_INPUT!A23="","",DATA_INPUT!A23)</f>
        <v/>
      </c>
      <c r="B600" t="str">
        <f t="shared" si="0"/>
        <v/>
      </c>
      <c r="C600" t="str">
        <f>IF(DATA_INPUT!B23="","",DATA_INPUT!B23)</f>
        <v/>
      </c>
      <c r="D600" t="str">
        <f>IF(DATA_INPUT!C23="","",DATA_INPUT!C23)</f>
        <v/>
      </c>
      <c r="E600" s="27" t="str">
        <f>IF(DATA_INPUT!D23="","",DATA_INPUT!D23)</f>
        <v/>
      </c>
      <c r="F600" t="str">
        <f t="shared" si="1"/>
        <v/>
      </c>
      <c r="G600" t="str">
        <f t="shared" si="2"/>
        <v/>
      </c>
    </row>
    <row r="601" spans="1:7">
      <c r="A601" s="10" t="str">
        <f>IF(DATA_INPUT!A24="","",DATA_INPUT!A24)</f>
        <v/>
      </c>
      <c r="B601" t="str">
        <f t="shared" si="0"/>
        <v/>
      </c>
      <c r="C601" t="str">
        <f>IF(DATA_INPUT!B24="","",DATA_INPUT!B24)</f>
        <v/>
      </c>
      <c r="D601" t="str">
        <f>IF(DATA_INPUT!C24="","",DATA_INPUT!C24)</f>
        <v/>
      </c>
      <c r="E601" s="27" t="str">
        <f>IF(DATA_INPUT!D24="","",DATA_INPUT!D24)</f>
        <v/>
      </c>
      <c r="F601" t="str">
        <f t="shared" si="1"/>
        <v/>
      </c>
      <c r="G601" t="str">
        <f t="shared" si="2"/>
        <v/>
      </c>
    </row>
    <row r="602" spans="1:7">
      <c r="A602" s="10" t="str">
        <f>IF(DATA_INPUT!A25="","",DATA_INPUT!A25)</f>
        <v/>
      </c>
      <c r="B602" t="str">
        <f t="shared" si="0"/>
        <v/>
      </c>
      <c r="C602" t="str">
        <f>IF(DATA_INPUT!B25="","",DATA_INPUT!B25)</f>
        <v/>
      </c>
      <c r="D602" t="str">
        <f>IF(DATA_INPUT!C25="","",DATA_INPUT!C25)</f>
        <v/>
      </c>
      <c r="E602" s="27" t="str">
        <f>IF(DATA_INPUT!D25="","",DATA_INPUT!D25)</f>
        <v/>
      </c>
      <c r="F602" t="str">
        <f t="shared" si="1"/>
        <v/>
      </c>
      <c r="G602" t="str">
        <f t="shared" si="2"/>
        <v/>
      </c>
    </row>
    <row r="603" spans="1:7">
      <c r="A603" s="10" t="str">
        <f>IF(DATA_INPUT!A26="","",DATA_INPUT!A26)</f>
        <v/>
      </c>
      <c r="B603" t="str">
        <f t="shared" si="0"/>
        <v/>
      </c>
      <c r="C603" t="str">
        <f>IF(DATA_INPUT!B26="","",DATA_INPUT!B26)</f>
        <v/>
      </c>
      <c r="D603" t="str">
        <f>IF(DATA_INPUT!C26="","",DATA_INPUT!C26)</f>
        <v/>
      </c>
      <c r="E603" s="27" t="str">
        <f>IF(DATA_INPUT!D26="","",DATA_INPUT!D26)</f>
        <v/>
      </c>
      <c r="F603" t="str">
        <f t="shared" si="1"/>
        <v/>
      </c>
      <c r="G603" t="str">
        <f t="shared" si="2"/>
        <v/>
      </c>
    </row>
    <row r="604" spans="1:7">
      <c r="A604" s="10" t="str">
        <f>IF(DATA_INPUT!A27="","",DATA_INPUT!A27)</f>
        <v/>
      </c>
      <c r="B604" t="str">
        <f t="shared" si="0"/>
        <v/>
      </c>
      <c r="C604" t="str">
        <f>IF(DATA_INPUT!B27="","",DATA_INPUT!B27)</f>
        <v/>
      </c>
      <c r="D604" t="str">
        <f>IF(DATA_INPUT!C27="","",DATA_INPUT!C27)</f>
        <v/>
      </c>
      <c r="E604" s="27" t="str">
        <f>IF(DATA_INPUT!D27="","",DATA_INPUT!D27)</f>
        <v/>
      </c>
      <c r="F604" t="str">
        <f t="shared" si="1"/>
        <v/>
      </c>
      <c r="G604" t="str">
        <f t="shared" si="2"/>
        <v/>
      </c>
    </row>
    <row r="605" spans="1:7">
      <c r="A605" s="10" t="str">
        <f>IF(DATA_INPUT!A28="","",DATA_INPUT!A28)</f>
        <v/>
      </c>
      <c r="B605" t="str">
        <f t="shared" si="0"/>
        <v/>
      </c>
      <c r="C605" t="str">
        <f>IF(DATA_INPUT!B28="","",DATA_INPUT!B28)</f>
        <v/>
      </c>
      <c r="D605" t="str">
        <f>IF(DATA_INPUT!C28="","",DATA_INPUT!C28)</f>
        <v/>
      </c>
      <c r="E605" s="27" t="str">
        <f>IF(DATA_INPUT!D28="","",DATA_INPUT!D28)</f>
        <v/>
      </c>
      <c r="F605" t="str">
        <f t="shared" si="1"/>
        <v/>
      </c>
      <c r="G605" t="str">
        <f t="shared" si="2"/>
        <v/>
      </c>
    </row>
    <row r="606" spans="1:7">
      <c r="A606" s="10" t="str">
        <f>IF(DATA_INPUT!A29="","",DATA_INPUT!A29)</f>
        <v/>
      </c>
      <c r="B606" t="str">
        <f t="shared" si="0"/>
        <v/>
      </c>
      <c r="C606" t="str">
        <f>IF(DATA_INPUT!B29="","",DATA_INPUT!B29)</f>
        <v/>
      </c>
      <c r="D606" t="str">
        <f>IF(DATA_INPUT!C29="","",DATA_INPUT!C29)</f>
        <v/>
      </c>
      <c r="E606" s="27" t="str">
        <f>IF(DATA_INPUT!D29="","",DATA_INPUT!D29)</f>
        <v/>
      </c>
      <c r="F606" t="str">
        <f t="shared" si="1"/>
        <v/>
      </c>
      <c r="G606" t="str">
        <f t="shared" si="2"/>
        <v/>
      </c>
    </row>
    <row r="607" spans="1:7">
      <c r="A607" s="10" t="str">
        <f>IF(DATA_INPUT!A30="","",DATA_INPUT!A30)</f>
        <v/>
      </c>
      <c r="B607" t="str">
        <f t="shared" si="0"/>
        <v/>
      </c>
      <c r="C607" t="str">
        <f>IF(DATA_INPUT!B30="","",DATA_INPUT!B30)</f>
        <v/>
      </c>
      <c r="D607" t="str">
        <f>IF(DATA_INPUT!C30="","",DATA_INPUT!C30)</f>
        <v/>
      </c>
      <c r="E607" s="27" t="str">
        <f>IF(DATA_INPUT!D30="","",DATA_INPUT!D30)</f>
        <v/>
      </c>
      <c r="F607" t="str">
        <f t="shared" si="1"/>
        <v/>
      </c>
      <c r="G607" t="str">
        <f t="shared" si="2"/>
        <v/>
      </c>
    </row>
    <row r="608" spans="1:7">
      <c r="A608" s="10" t="str">
        <f>IF(DATA_INPUT!A31="","",DATA_INPUT!A31)</f>
        <v/>
      </c>
      <c r="B608" t="str">
        <f t="shared" si="0"/>
        <v/>
      </c>
      <c r="C608" t="str">
        <f>IF(DATA_INPUT!B31="","",DATA_INPUT!B31)</f>
        <v/>
      </c>
      <c r="D608" t="str">
        <f>IF(DATA_INPUT!C31="","",DATA_INPUT!C31)</f>
        <v/>
      </c>
      <c r="E608" s="27" t="str">
        <f>IF(DATA_INPUT!D31="","",DATA_INPUT!D31)</f>
        <v/>
      </c>
      <c r="F608" t="str">
        <f t="shared" si="1"/>
        <v/>
      </c>
      <c r="G608" t="str">
        <f t="shared" si="2"/>
        <v/>
      </c>
    </row>
    <row r="609" spans="1:7">
      <c r="A609" s="10" t="str">
        <f>IF(DATA_INPUT!A32="","",DATA_INPUT!A32)</f>
        <v/>
      </c>
      <c r="B609" t="str">
        <f t="shared" si="0"/>
        <v/>
      </c>
      <c r="C609" t="str">
        <f>IF(DATA_INPUT!B32="","",DATA_INPUT!B32)</f>
        <v/>
      </c>
      <c r="D609" t="str">
        <f>IF(DATA_INPUT!C32="","",DATA_INPUT!C32)</f>
        <v/>
      </c>
      <c r="E609" s="27" t="str">
        <f>IF(DATA_INPUT!D32="","",DATA_INPUT!D32)</f>
        <v/>
      </c>
      <c r="F609" t="str">
        <f t="shared" si="1"/>
        <v/>
      </c>
      <c r="G609" t="str">
        <f t="shared" si="2"/>
        <v/>
      </c>
    </row>
    <row r="610" spans="1:7">
      <c r="A610" s="10" t="str">
        <f>IF(DATA_INPUT!A33="","",DATA_INPUT!A33)</f>
        <v/>
      </c>
      <c r="B610" t="str">
        <f t="shared" si="0"/>
        <v/>
      </c>
      <c r="C610" t="str">
        <f>IF(DATA_INPUT!B33="","",DATA_INPUT!B33)</f>
        <v/>
      </c>
      <c r="D610" t="str">
        <f>IF(DATA_INPUT!C33="","",DATA_INPUT!C33)</f>
        <v/>
      </c>
      <c r="E610" s="27" t="str">
        <f>IF(DATA_INPUT!D33="","",DATA_INPUT!D33)</f>
        <v/>
      </c>
      <c r="F610" t="str">
        <f t="shared" si="1"/>
        <v/>
      </c>
      <c r="G610" t="str">
        <f t="shared" si="2"/>
        <v/>
      </c>
    </row>
    <row r="611" spans="1:7">
      <c r="A611" s="10" t="str">
        <f>IF(DATA_INPUT!A34="","",DATA_INPUT!A34)</f>
        <v/>
      </c>
      <c r="B611" t="str">
        <f t="shared" si="0"/>
        <v/>
      </c>
      <c r="C611" t="str">
        <f>IF(DATA_INPUT!B34="","",DATA_INPUT!B34)</f>
        <v/>
      </c>
      <c r="D611" t="str">
        <f>IF(DATA_INPUT!C34="","",DATA_INPUT!C34)</f>
        <v/>
      </c>
      <c r="E611" s="27" t="str">
        <f>IF(DATA_INPUT!D34="","",DATA_INPUT!D34)</f>
        <v/>
      </c>
      <c r="F611" t="str">
        <f t="shared" si="1"/>
        <v/>
      </c>
      <c r="G611" t="str">
        <f t="shared" si="2"/>
        <v/>
      </c>
    </row>
    <row r="612" spans="1:7">
      <c r="A612" s="10" t="str">
        <f>IF(DATA_INPUT!A35="","",DATA_INPUT!A35)</f>
        <v/>
      </c>
      <c r="B612" t="str">
        <f t="shared" si="0"/>
        <v/>
      </c>
      <c r="C612" t="str">
        <f>IF(DATA_INPUT!B35="","",DATA_INPUT!B35)</f>
        <v/>
      </c>
      <c r="D612" t="str">
        <f>IF(DATA_INPUT!C35="","",DATA_INPUT!C35)</f>
        <v/>
      </c>
      <c r="E612" s="27" t="str">
        <f>IF(DATA_INPUT!D35="","",DATA_INPUT!D35)</f>
        <v/>
      </c>
      <c r="F612" t="str">
        <f t="shared" si="1"/>
        <v/>
      </c>
      <c r="G612" t="str">
        <f t="shared" si="2"/>
        <v/>
      </c>
    </row>
    <row r="613" spans="1:7">
      <c r="A613" s="10" t="str">
        <f>IF(DATA_INPUT!A36="","",DATA_INPUT!A36)</f>
        <v/>
      </c>
      <c r="B613" t="str">
        <f t="shared" si="0"/>
        <v/>
      </c>
      <c r="C613" t="str">
        <f>IF(DATA_INPUT!B36="","",DATA_INPUT!B36)</f>
        <v/>
      </c>
      <c r="D613" t="str">
        <f>IF(DATA_INPUT!C36="","",DATA_INPUT!C36)</f>
        <v/>
      </c>
      <c r="E613" s="27" t="str">
        <f>IF(DATA_INPUT!D36="","",DATA_INPUT!D36)</f>
        <v/>
      </c>
      <c r="F613" t="str">
        <f t="shared" si="1"/>
        <v/>
      </c>
      <c r="G613" t="str">
        <f t="shared" si="2"/>
        <v/>
      </c>
    </row>
    <row r="614" spans="1:7">
      <c r="A614" s="10" t="str">
        <f>IF(DATA_INPUT!A37="","",DATA_INPUT!A37)</f>
        <v/>
      </c>
      <c r="B614" t="str">
        <f t="shared" si="0"/>
        <v/>
      </c>
      <c r="C614" t="str">
        <f>IF(DATA_INPUT!B37="","",DATA_INPUT!B37)</f>
        <v/>
      </c>
      <c r="D614" t="str">
        <f>IF(DATA_INPUT!C37="","",DATA_INPUT!C37)</f>
        <v/>
      </c>
      <c r="E614" s="27" t="str">
        <f>IF(DATA_INPUT!D37="","",DATA_INPUT!D37)</f>
        <v/>
      </c>
      <c r="F614" t="str">
        <f t="shared" si="1"/>
        <v/>
      </c>
      <c r="G614" t="str">
        <f t="shared" si="2"/>
        <v/>
      </c>
    </row>
    <row r="615" spans="1:7">
      <c r="A615" s="10" t="str">
        <f>IF(DATA_INPUT!A38="","",DATA_INPUT!A38)</f>
        <v/>
      </c>
      <c r="B615" t="str">
        <f t="shared" si="0"/>
        <v/>
      </c>
      <c r="C615" t="str">
        <f>IF(DATA_INPUT!B38="","",DATA_INPUT!B38)</f>
        <v/>
      </c>
      <c r="D615" t="str">
        <f>IF(DATA_INPUT!C38="","",DATA_INPUT!C38)</f>
        <v/>
      </c>
      <c r="E615" s="27" t="str">
        <f>IF(DATA_INPUT!D38="","",DATA_INPUT!D38)</f>
        <v/>
      </c>
      <c r="F615" t="str">
        <f t="shared" si="1"/>
        <v/>
      </c>
      <c r="G615" t="str">
        <f t="shared" si="2"/>
        <v/>
      </c>
    </row>
    <row r="616" spans="1:7">
      <c r="A616" s="10" t="str">
        <f>IF(DATA_INPUT!A39="","",DATA_INPUT!A39)</f>
        <v/>
      </c>
      <c r="B616" t="str">
        <f t="shared" si="0"/>
        <v/>
      </c>
      <c r="C616" t="str">
        <f>IF(DATA_INPUT!B39="","",DATA_INPUT!B39)</f>
        <v/>
      </c>
      <c r="D616" t="str">
        <f>IF(DATA_INPUT!C39="","",DATA_INPUT!C39)</f>
        <v/>
      </c>
      <c r="E616" s="27" t="str">
        <f>IF(DATA_INPUT!D39="","",DATA_INPUT!D39)</f>
        <v/>
      </c>
      <c r="F616" t="str">
        <f t="shared" si="1"/>
        <v/>
      </c>
      <c r="G616" t="str">
        <f t="shared" si="2"/>
        <v/>
      </c>
    </row>
    <row r="617" spans="1:7">
      <c r="A617" s="10" t="str">
        <f>IF(DATA_INPUT!A40="","",DATA_INPUT!A40)</f>
        <v/>
      </c>
      <c r="B617" t="str">
        <f t="shared" si="0"/>
        <v/>
      </c>
      <c r="C617" t="str">
        <f>IF(DATA_INPUT!B40="","",DATA_INPUT!B40)</f>
        <v/>
      </c>
      <c r="D617" t="str">
        <f>IF(DATA_INPUT!C40="","",DATA_INPUT!C40)</f>
        <v/>
      </c>
      <c r="E617" s="27" t="str">
        <f>IF(DATA_INPUT!D40="","",DATA_INPUT!D40)</f>
        <v/>
      </c>
      <c r="F617" t="str">
        <f t="shared" si="1"/>
        <v/>
      </c>
      <c r="G617" t="str">
        <f t="shared" si="2"/>
        <v/>
      </c>
    </row>
    <row r="618" spans="1:7">
      <c r="A618" s="10" t="str">
        <f>IF(DATA_INPUT!A41="","",DATA_INPUT!A41)</f>
        <v/>
      </c>
      <c r="B618" t="str">
        <f t="shared" si="0"/>
        <v/>
      </c>
      <c r="C618" t="str">
        <f>IF(DATA_INPUT!B41="","",DATA_INPUT!B41)</f>
        <v/>
      </c>
      <c r="D618" t="str">
        <f>IF(DATA_INPUT!C41="","",DATA_INPUT!C41)</f>
        <v/>
      </c>
      <c r="E618" s="27" t="str">
        <f>IF(DATA_INPUT!D41="","",DATA_INPUT!D41)</f>
        <v/>
      </c>
      <c r="F618" t="str">
        <f t="shared" si="1"/>
        <v/>
      </c>
      <c r="G618" t="str">
        <f t="shared" si="2"/>
        <v/>
      </c>
    </row>
    <row r="619" spans="1:7">
      <c r="A619" s="10" t="str">
        <f>IF(DATA_INPUT!A42="","",DATA_INPUT!A42)</f>
        <v/>
      </c>
      <c r="B619" t="str">
        <f t="shared" si="0"/>
        <v/>
      </c>
      <c r="C619" t="str">
        <f>IF(DATA_INPUT!B42="","",DATA_INPUT!B42)</f>
        <v/>
      </c>
      <c r="D619" t="str">
        <f>IF(DATA_INPUT!C42="","",DATA_INPUT!C42)</f>
        <v/>
      </c>
      <c r="E619" s="27" t="str">
        <f>IF(DATA_INPUT!D42="","",DATA_INPUT!D42)</f>
        <v/>
      </c>
      <c r="F619" t="str">
        <f t="shared" si="1"/>
        <v/>
      </c>
      <c r="G619" t="str">
        <f t="shared" si="2"/>
        <v/>
      </c>
    </row>
    <row r="620" spans="1:7">
      <c r="A620" s="10" t="str">
        <f>IF(DATA_INPUT!A43="","",DATA_INPUT!A43)</f>
        <v/>
      </c>
      <c r="B620" t="str">
        <f t="shared" si="0"/>
        <v/>
      </c>
      <c r="C620" t="str">
        <f>IF(DATA_INPUT!B43="","",DATA_INPUT!B43)</f>
        <v/>
      </c>
      <c r="D620" t="str">
        <f>IF(DATA_INPUT!C43="","",DATA_INPUT!C43)</f>
        <v/>
      </c>
      <c r="E620" s="27" t="str">
        <f>IF(DATA_INPUT!D43="","",DATA_INPUT!D43)</f>
        <v/>
      </c>
      <c r="F620" t="str">
        <f t="shared" si="1"/>
        <v/>
      </c>
      <c r="G620" t="str">
        <f t="shared" si="2"/>
        <v/>
      </c>
    </row>
    <row r="621" spans="1:7">
      <c r="A621" s="10" t="str">
        <f>IF(DATA_INPUT!A44="","",DATA_INPUT!A44)</f>
        <v/>
      </c>
      <c r="B621" t="str">
        <f t="shared" si="0"/>
        <v/>
      </c>
      <c r="C621" t="str">
        <f>IF(DATA_INPUT!B44="","",DATA_INPUT!B44)</f>
        <v/>
      </c>
      <c r="D621" t="str">
        <f>IF(DATA_INPUT!C44="","",DATA_INPUT!C44)</f>
        <v/>
      </c>
      <c r="E621" s="27" t="str">
        <f>IF(DATA_INPUT!D44="","",DATA_INPUT!D44)</f>
        <v/>
      </c>
      <c r="F621" t="str">
        <f t="shared" si="1"/>
        <v/>
      </c>
      <c r="G621" t="str">
        <f t="shared" si="2"/>
        <v/>
      </c>
    </row>
    <row r="622" spans="1:7">
      <c r="A622" s="10" t="str">
        <f>IF(DATA_INPUT!A45="","",DATA_INPUT!A45)</f>
        <v/>
      </c>
      <c r="B622" t="str">
        <f t="shared" si="0"/>
        <v/>
      </c>
      <c r="C622" t="str">
        <f>IF(DATA_INPUT!B45="","",DATA_INPUT!B45)</f>
        <v/>
      </c>
      <c r="D622" t="str">
        <f>IF(DATA_INPUT!C45="","",DATA_INPUT!C45)</f>
        <v/>
      </c>
      <c r="E622" s="27" t="str">
        <f>IF(DATA_INPUT!D45="","",DATA_INPUT!D45)</f>
        <v/>
      </c>
      <c r="F622" t="str">
        <f t="shared" si="1"/>
        <v/>
      </c>
      <c r="G622" t="str">
        <f t="shared" si="2"/>
        <v/>
      </c>
    </row>
    <row r="623" spans="1:7">
      <c r="A623" s="10" t="str">
        <f>IF(DATA_INPUT!A46="","",DATA_INPUT!A46)</f>
        <v/>
      </c>
      <c r="B623" t="str">
        <f t="shared" si="0"/>
        <v/>
      </c>
      <c r="C623" t="str">
        <f>IF(DATA_INPUT!B46="","",DATA_INPUT!B46)</f>
        <v/>
      </c>
      <c r="D623" t="str">
        <f>IF(DATA_INPUT!C46="","",DATA_INPUT!C46)</f>
        <v/>
      </c>
      <c r="E623" s="27" t="str">
        <f>IF(DATA_INPUT!D46="","",DATA_INPUT!D46)</f>
        <v/>
      </c>
      <c r="F623" t="str">
        <f t="shared" si="1"/>
        <v/>
      </c>
      <c r="G623" t="str">
        <f t="shared" si="2"/>
        <v/>
      </c>
    </row>
    <row r="624" spans="1:7">
      <c r="A624" s="10" t="str">
        <f>IF(DATA_INPUT!A47="","",DATA_INPUT!A47)</f>
        <v/>
      </c>
      <c r="B624" t="str">
        <f t="shared" si="0"/>
        <v/>
      </c>
      <c r="C624" t="str">
        <f>IF(DATA_INPUT!B47="","",DATA_INPUT!B47)</f>
        <v/>
      </c>
      <c r="D624" t="str">
        <f>IF(DATA_INPUT!C47="","",DATA_INPUT!C47)</f>
        <v/>
      </c>
      <c r="E624" s="27" t="str">
        <f>IF(DATA_INPUT!D47="","",DATA_INPUT!D47)</f>
        <v/>
      </c>
      <c r="F624" t="str">
        <f t="shared" si="1"/>
        <v/>
      </c>
      <c r="G624" t="str">
        <f t="shared" si="2"/>
        <v/>
      </c>
    </row>
    <row r="625" spans="1:7">
      <c r="A625" s="10" t="str">
        <f>IF(DATA_INPUT!A48="","",DATA_INPUT!A48)</f>
        <v/>
      </c>
      <c r="B625" t="str">
        <f t="shared" si="0"/>
        <v/>
      </c>
      <c r="C625" t="str">
        <f>IF(DATA_INPUT!B48="","",DATA_INPUT!B48)</f>
        <v/>
      </c>
      <c r="D625" t="str">
        <f>IF(DATA_INPUT!C48="","",DATA_INPUT!C48)</f>
        <v/>
      </c>
      <c r="E625" s="27" t="str">
        <f>IF(DATA_INPUT!D48="","",DATA_INPUT!D48)</f>
        <v/>
      </c>
      <c r="F625" t="str">
        <f t="shared" si="1"/>
        <v/>
      </c>
      <c r="G625" t="str">
        <f t="shared" si="2"/>
        <v/>
      </c>
    </row>
    <row r="626" spans="1:7">
      <c r="A626" s="10" t="str">
        <f>IF(DATA_INPUT!A49="","",DATA_INPUT!A49)</f>
        <v/>
      </c>
      <c r="B626" t="str">
        <f t="shared" si="0"/>
        <v/>
      </c>
      <c r="C626" t="str">
        <f>IF(DATA_INPUT!B49="","",DATA_INPUT!B49)</f>
        <v/>
      </c>
      <c r="D626" t="str">
        <f>IF(DATA_INPUT!C49="","",DATA_INPUT!C49)</f>
        <v/>
      </c>
      <c r="E626" s="27" t="str">
        <f>IF(DATA_INPUT!D49="","",DATA_INPUT!D49)</f>
        <v/>
      </c>
      <c r="F626" t="str">
        <f t="shared" si="1"/>
        <v/>
      </c>
      <c r="G626" t="str">
        <f t="shared" si="2"/>
        <v/>
      </c>
    </row>
    <row r="627" spans="1:7">
      <c r="A627" s="10" t="str">
        <f>IF(DATA_INPUT!A50="","",DATA_INPUT!A50)</f>
        <v/>
      </c>
      <c r="B627" t="str">
        <f t="shared" si="0"/>
        <v/>
      </c>
      <c r="C627" t="str">
        <f>IF(DATA_INPUT!B50="","",DATA_INPUT!B50)</f>
        <v/>
      </c>
      <c r="D627" t="str">
        <f>IF(DATA_INPUT!C50="","",DATA_INPUT!C50)</f>
        <v/>
      </c>
      <c r="E627" s="27" t="str">
        <f>IF(DATA_INPUT!D50="","",DATA_INPUT!D50)</f>
        <v/>
      </c>
      <c r="F627" t="str">
        <f t="shared" si="1"/>
        <v/>
      </c>
      <c r="G627" t="str">
        <f t="shared" si="2"/>
        <v/>
      </c>
    </row>
    <row r="628" spans="1:7">
      <c r="A628" s="10" t="str">
        <f>IF(DATA_INPUT!A51="","",DATA_INPUT!A51)</f>
        <v/>
      </c>
      <c r="B628" t="str">
        <f t="shared" si="0"/>
        <v/>
      </c>
      <c r="C628" t="str">
        <f>IF(DATA_INPUT!B51="","",DATA_INPUT!B51)</f>
        <v/>
      </c>
      <c r="D628" t="str">
        <f>IF(DATA_INPUT!C51="","",DATA_INPUT!C51)</f>
        <v/>
      </c>
      <c r="E628" s="27" t="str">
        <f>IF(DATA_INPUT!D51="","",DATA_INPUT!D51)</f>
        <v/>
      </c>
      <c r="F628" t="str">
        <f t="shared" si="1"/>
        <v/>
      </c>
      <c r="G628" t="str">
        <f t="shared" si="2"/>
        <v/>
      </c>
    </row>
    <row r="629" spans="1:7">
      <c r="A629" s="10" t="str">
        <f>IF(DATA_INPUT!A52="","",DATA_INPUT!A52)</f>
        <v/>
      </c>
      <c r="B629" t="str">
        <f t="shared" si="0"/>
        <v/>
      </c>
      <c r="C629" t="str">
        <f>IF(DATA_INPUT!B52="","",DATA_INPUT!B52)</f>
        <v/>
      </c>
      <c r="D629" t="str">
        <f>IF(DATA_INPUT!C52="","",DATA_INPUT!C52)</f>
        <v/>
      </c>
      <c r="E629" s="27" t="str">
        <f>IF(DATA_INPUT!D52="","",DATA_INPUT!D52)</f>
        <v/>
      </c>
      <c r="F629" t="str">
        <f t="shared" si="1"/>
        <v/>
      </c>
      <c r="G629" t="str">
        <f t="shared" si="2"/>
        <v/>
      </c>
    </row>
    <row r="630" spans="1:7">
      <c r="A630" s="10" t="str">
        <f>IF(DATA_INPUT!A53="","",DATA_INPUT!A53)</f>
        <v/>
      </c>
      <c r="B630" t="str">
        <f t="shared" si="0"/>
        <v/>
      </c>
      <c r="C630" t="str">
        <f>IF(DATA_INPUT!B53="","",DATA_INPUT!B53)</f>
        <v/>
      </c>
      <c r="D630" t="str">
        <f>IF(DATA_INPUT!C53="","",DATA_INPUT!C53)</f>
        <v/>
      </c>
      <c r="E630" s="27" t="str">
        <f>IF(DATA_INPUT!D53="","",DATA_INPUT!D53)</f>
        <v/>
      </c>
      <c r="F630" t="str">
        <f t="shared" si="1"/>
        <v/>
      </c>
      <c r="G630" t="str">
        <f t="shared" si="2"/>
        <v/>
      </c>
    </row>
    <row r="631" spans="1:7">
      <c r="A631" s="10" t="str">
        <f>IF(DATA_INPUT!A54="","",DATA_INPUT!A54)</f>
        <v/>
      </c>
      <c r="B631" t="str">
        <f t="shared" si="0"/>
        <v/>
      </c>
      <c r="C631" t="str">
        <f>IF(DATA_INPUT!B54="","",DATA_INPUT!B54)</f>
        <v/>
      </c>
      <c r="D631" t="str">
        <f>IF(DATA_INPUT!C54="","",DATA_INPUT!C54)</f>
        <v/>
      </c>
      <c r="E631" s="27" t="str">
        <f>IF(DATA_INPUT!D54="","",DATA_INPUT!D54)</f>
        <v/>
      </c>
      <c r="F631" t="str">
        <f t="shared" si="1"/>
        <v/>
      </c>
      <c r="G631" t="str">
        <f t="shared" si="2"/>
        <v/>
      </c>
    </row>
    <row r="632" spans="1:7">
      <c r="A632" s="10" t="str">
        <f>IF(DATA_INPUT!A55="","",DATA_INPUT!A55)</f>
        <v/>
      </c>
      <c r="B632" t="str">
        <f t="shared" si="0"/>
        <v/>
      </c>
      <c r="C632" t="str">
        <f>IF(DATA_INPUT!B55="","",DATA_INPUT!B55)</f>
        <v/>
      </c>
      <c r="D632" t="str">
        <f>IF(DATA_INPUT!C55="","",DATA_INPUT!C55)</f>
        <v/>
      </c>
      <c r="E632" s="27" t="str">
        <f>IF(DATA_INPUT!D55="","",DATA_INPUT!D55)</f>
        <v/>
      </c>
      <c r="F632" t="str">
        <f t="shared" si="1"/>
        <v/>
      </c>
      <c r="G632" t="str">
        <f t="shared" si="2"/>
        <v/>
      </c>
    </row>
    <row r="633" spans="1:7">
      <c r="A633" s="10" t="str">
        <f>IF(DATA_INPUT!A56="","",DATA_INPUT!A56)</f>
        <v/>
      </c>
      <c r="B633" t="str">
        <f t="shared" si="0"/>
        <v/>
      </c>
      <c r="C633" t="str">
        <f>IF(DATA_INPUT!B56="","",DATA_INPUT!B56)</f>
        <v/>
      </c>
      <c r="D633" t="str">
        <f>IF(DATA_INPUT!C56="","",DATA_INPUT!C56)</f>
        <v/>
      </c>
      <c r="E633" s="27" t="str">
        <f>IF(DATA_INPUT!D56="","",DATA_INPUT!D56)</f>
        <v/>
      </c>
      <c r="F633" t="str">
        <f t="shared" si="1"/>
        <v/>
      </c>
      <c r="G633" t="str">
        <f t="shared" si="2"/>
        <v/>
      </c>
    </row>
    <row r="634" spans="1:7">
      <c r="A634" s="10" t="str">
        <f>IF(DATA_INPUT!A57="","",DATA_INPUT!A57)</f>
        <v/>
      </c>
      <c r="B634" t="str">
        <f t="shared" si="0"/>
        <v/>
      </c>
      <c r="C634" t="str">
        <f>IF(DATA_INPUT!B57="","",DATA_INPUT!B57)</f>
        <v/>
      </c>
      <c r="D634" t="str">
        <f>IF(DATA_INPUT!C57="","",DATA_INPUT!C57)</f>
        <v/>
      </c>
      <c r="E634" s="27" t="str">
        <f>IF(DATA_INPUT!D57="","",DATA_INPUT!D57)</f>
        <v/>
      </c>
      <c r="F634" t="str">
        <f t="shared" si="1"/>
        <v/>
      </c>
      <c r="G634" t="str">
        <f t="shared" si="2"/>
        <v/>
      </c>
    </row>
    <row r="635" spans="1:7">
      <c r="A635" s="10" t="str">
        <f>IF(DATA_INPUT!A58="","",DATA_INPUT!A58)</f>
        <v/>
      </c>
      <c r="B635" t="str">
        <f t="shared" si="0"/>
        <v/>
      </c>
      <c r="C635" t="str">
        <f>IF(DATA_INPUT!B58="","",DATA_INPUT!B58)</f>
        <v/>
      </c>
      <c r="D635" t="str">
        <f>IF(DATA_INPUT!C58="","",DATA_INPUT!C58)</f>
        <v/>
      </c>
      <c r="E635" s="27" t="str">
        <f>IF(DATA_INPUT!D58="","",DATA_INPUT!D58)</f>
        <v/>
      </c>
      <c r="F635" t="str">
        <f t="shared" si="1"/>
        <v/>
      </c>
      <c r="G635" t="str">
        <f t="shared" si="2"/>
        <v/>
      </c>
    </row>
    <row r="636" spans="1:7">
      <c r="A636" s="10" t="str">
        <f>IF(DATA_INPUT!A59="","",DATA_INPUT!A59)</f>
        <v/>
      </c>
      <c r="B636" t="str">
        <f t="shared" si="0"/>
        <v/>
      </c>
      <c r="C636" t="str">
        <f>IF(DATA_INPUT!B59="","",DATA_INPUT!B59)</f>
        <v/>
      </c>
      <c r="D636" t="str">
        <f>IF(DATA_INPUT!C59="","",DATA_INPUT!C59)</f>
        <v/>
      </c>
      <c r="E636" s="27" t="str">
        <f>IF(DATA_INPUT!D59="","",DATA_INPUT!D59)</f>
        <v/>
      </c>
      <c r="F636" t="str">
        <f t="shared" si="1"/>
        <v/>
      </c>
      <c r="G636" t="str">
        <f t="shared" si="2"/>
        <v/>
      </c>
    </row>
    <row r="637" spans="1:7">
      <c r="A637" s="10" t="str">
        <f>IF(DATA_INPUT!A60="","",DATA_INPUT!A60)</f>
        <v/>
      </c>
      <c r="B637" t="str">
        <f t="shared" si="0"/>
        <v/>
      </c>
      <c r="C637" t="str">
        <f>IF(DATA_INPUT!B60="","",DATA_INPUT!B60)</f>
        <v/>
      </c>
      <c r="D637" t="str">
        <f>IF(DATA_INPUT!C60="","",DATA_INPUT!C60)</f>
        <v/>
      </c>
      <c r="E637" s="27" t="str">
        <f>IF(DATA_INPUT!D60="","",DATA_INPUT!D60)</f>
        <v/>
      </c>
      <c r="F637" t="str">
        <f t="shared" si="1"/>
        <v/>
      </c>
      <c r="G637" t="str">
        <f t="shared" si="2"/>
        <v/>
      </c>
    </row>
    <row r="638" spans="1:7">
      <c r="A638" s="10" t="str">
        <f>IF(DATA_INPUT!A61="","",DATA_INPUT!A61)</f>
        <v/>
      </c>
      <c r="B638" t="str">
        <f t="shared" si="0"/>
        <v/>
      </c>
      <c r="C638" t="str">
        <f>IF(DATA_INPUT!B61="","",DATA_INPUT!B61)</f>
        <v/>
      </c>
      <c r="D638" t="str">
        <f>IF(DATA_INPUT!C61="","",DATA_INPUT!C61)</f>
        <v/>
      </c>
      <c r="E638" s="27" t="str">
        <f>IF(DATA_INPUT!D61="","",DATA_INPUT!D61)</f>
        <v/>
      </c>
      <c r="F638" t="str">
        <f t="shared" si="1"/>
        <v/>
      </c>
      <c r="G638" t="str">
        <f t="shared" si="2"/>
        <v/>
      </c>
    </row>
    <row r="639" spans="1:7">
      <c r="A639" s="10" t="str">
        <f>IF(DATA_INPUT!A62="","",DATA_INPUT!A62)</f>
        <v/>
      </c>
      <c r="B639" t="str">
        <f t="shared" si="0"/>
        <v/>
      </c>
      <c r="C639" t="str">
        <f>IF(DATA_INPUT!B62="","",DATA_INPUT!B62)</f>
        <v/>
      </c>
      <c r="D639" t="str">
        <f>IF(DATA_INPUT!C62="","",DATA_INPUT!C62)</f>
        <v/>
      </c>
      <c r="E639" s="27" t="str">
        <f>IF(DATA_INPUT!D62="","",DATA_INPUT!D62)</f>
        <v/>
      </c>
      <c r="F639" t="str">
        <f t="shared" si="1"/>
        <v/>
      </c>
      <c r="G639" t="str">
        <f t="shared" si="2"/>
        <v/>
      </c>
    </row>
    <row r="640" spans="1:7">
      <c r="A640" s="10" t="str">
        <f>IF(DATA_INPUT!A63="","",DATA_INPUT!A63)</f>
        <v/>
      </c>
      <c r="B640" t="str">
        <f t="shared" si="0"/>
        <v/>
      </c>
      <c r="C640" t="str">
        <f>IF(DATA_INPUT!B63="","",DATA_INPUT!B63)</f>
        <v/>
      </c>
      <c r="D640" t="str">
        <f>IF(DATA_INPUT!C63="","",DATA_INPUT!C63)</f>
        <v/>
      </c>
      <c r="E640" s="27" t="str">
        <f>IF(DATA_INPUT!D63="","",DATA_INPUT!D63)</f>
        <v/>
      </c>
      <c r="F640" t="str">
        <f t="shared" si="1"/>
        <v/>
      </c>
      <c r="G640" t="str">
        <f t="shared" si="2"/>
        <v/>
      </c>
    </row>
    <row r="641" spans="1:7">
      <c r="A641" s="10" t="str">
        <f>IF(DATA_INPUT!A64="","",DATA_INPUT!A64)</f>
        <v/>
      </c>
      <c r="B641" t="str">
        <f t="shared" si="0"/>
        <v/>
      </c>
      <c r="C641" t="str">
        <f>IF(DATA_INPUT!B64="","",DATA_INPUT!B64)</f>
        <v/>
      </c>
      <c r="D641" t="str">
        <f>IF(DATA_INPUT!C64="","",DATA_INPUT!C64)</f>
        <v/>
      </c>
      <c r="E641" s="27" t="str">
        <f>IF(DATA_INPUT!D64="","",DATA_INPUT!D64)</f>
        <v/>
      </c>
      <c r="F641" t="str">
        <f t="shared" si="1"/>
        <v/>
      </c>
      <c r="G641" t="str">
        <f t="shared" si="2"/>
        <v/>
      </c>
    </row>
    <row r="642" spans="1:7">
      <c r="A642" s="10" t="str">
        <f>IF(DATA_INPUT!A65="","",DATA_INPUT!A65)</f>
        <v/>
      </c>
      <c r="B642" t="str">
        <f t="shared" si="0"/>
        <v/>
      </c>
      <c r="C642" t="str">
        <f>IF(DATA_INPUT!B65="","",DATA_INPUT!B65)</f>
        <v/>
      </c>
      <c r="D642" t="str">
        <f>IF(DATA_INPUT!C65="","",DATA_INPUT!C65)</f>
        <v/>
      </c>
      <c r="E642" s="27" t="str">
        <f>IF(DATA_INPUT!D65="","",DATA_INPUT!D65)</f>
        <v/>
      </c>
      <c r="F642" t="str">
        <f t="shared" si="1"/>
        <v/>
      </c>
      <c r="G642" t="str">
        <f t="shared" si="2"/>
        <v/>
      </c>
    </row>
    <row r="643" spans="1:7">
      <c r="A643" s="10" t="str">
        <f>IF(DATA_INPUT!A66="","",DATA_INPUT!A66)</f>
        <v/>
      </c>
      <c r="B643" t="str">
        <f t="shared" si="0"/>
        <v/>
      </c>
      <c r="C643" t="str">
        <f>IF(DATA_INPUT!B66="","",DATA_INPUT!B66)</f>
        <v/>
      </c>
      <c r="D643" t="str">
        <f>IF(DATA_INPUT!C66="","",DATA_INPUT!C66)</f>
        <v/>
      </c>
      <c r="E643" s="27" t="str">
        <f>IF(DATA_INPUT!D66="","",DATA_INPUT!D66)</f>
        <v/>
      </c>
      <c r="F643" t="str">
        <f t="shared" si="1"/>
        <v/>
      </c>
      <c r="G643" t="str">
        <f t="shared" si="2"/>
        <v/>
      </c>
    </row>
    <row r="644" spans="1:7">
      <c r="A644" s="10" t="str">
        <f>IF(DATA_INPUT!A67="","",DATA_INPUT!A67)</f>
        <v/>
      </c>
      <c r="B644" t="str">
        <f t="shared" ref="B644:B707" si="3">IF(A644="","",TEXT(A644,"dddd"))</f>
        <v/>
      </c>
      <c r="C644" t="str">
        <f>IF(DATA_INPUT!B67="","",DATA_INPUT!B67)</f>
        <v/>
      </c>
      <c r="D644" t="str">
        <f>IF(DATA_INPUT!C67="","",DATA_INPUT!C67)</f>
        <v/>
      </c>
      <c r="E644" s="27" t="str">
        <f>IF(DATA_INPUT!D67="","",DATA_INPUT!D67)</f>
        <v/>
      </c>
      <c r="F644" t="str">
        <f t="shared" ref="F644:F707" si="4">IF(A644="","",TEXT(A644,"mmm yyyy"))</f>
        <v/>
      </c>
      <c r="G644" t="str">
        <f t="shared" ref="G644:G707" si="5">IF(A644="","",WEEKNUM(A644))</f>
        <v/>
      </c>
    </row>
    <row r="645" spans="1:7">
      <c r="A645" s="10" t="str">
        <f>IF(DATA_INPUT!A68="","",DATA_INPUT!A68)</f>
        <v/>
      </c>
      <c r="B645" t="str">
        <f t="shared" si="3"/>
        <v/>
      </c>
      <c r="C645" t="str">
        <f>IF(DATA_INPUT!B68="","",DATA_INPUT!B68)</f>
        <v/>
      </c>
      <c r="D645" t="str">
        <f>IF(DATA_INPUT!C68="","",DATA_INPUT!C68)</f>
        <v/>
      </c>
      <c r="E645" s="27" t="str">
        <f>IF(DATA_INPUT!D68="","",DATA_INPUT!D68)</f>
        <v/>
      </c>
      <c r="F645" t="str">
        <f t="shared" si="4"/>
        <v/>
      </c>
      <c r="G645" t="str">
        <f t="shared" si="5"/>
        <v/>
      </c>
    </row>
    <row r="646" spans="1:7">
      <c r="A646" s="10" t="str">
        <f>IF(DATA_INPUT!A69="","",DATA_INPUT!A69)</f>
        <v/>
      </c>
      <c r="B646" t="str">
        <f t="shared" si="3"/>
        <v/>
      </c>
      <c r="C646" t="str">
        <f>IF(DATA_INPUT!B69="","",DATA_INPUT!B69)</f>
        <v/>
      </c>
      <c r="D646" t="str">
        <f>IF(DATA_INPUT!C69="","",DATA_INPUT!C69)</f>
        <v/>
      </c>
      <c r="E646" s="27" t="str">
        <f>IF(DATA_INPUT!D69="","",DATA_INPUT!D69)</f>
        <v/>
      </c>
      <c r="F646" t="str">
        <f t="shared" si="4"/>
        <v/>
      </c>
      <c r="G646" t="str">
        <f t="shared" si="5"/>
        <v/>
      </c>
    </row>
    <row r="647" spans="1:7">
      <c r="A647" s="10" t="str">
        <f>IF(DATA_INPUT!A70="","",DATA_INPUT!A70)</f>
        <v/>
      </c>
      <c r="B647" t="str">
        <f t="shared" si="3"/>
        <v/>
      </c>
      <c r="C647" t="str">
        <f>IF(DATA_INPUT!B70="","",DATA_INPUT!B70)</f>
        <v/>
      </c>
      <c r="D647" t="str">
        <f>IF(DATA_INPUT!C70="","",DATA_INPUT!C70)</f>
        <v/>
      </c>
      <c r="E647" s="27" t="str">
        <f>IF(DATA_INPUT!D70="","",DATA_INPUT!D70)</f>
        <v/>
      </c>
      <c r="F647" t="str">
        <f t="shared" si="4"/>
        <v/>
      </c>
      <c r="G647" t="str">
        <f t="shared" si="5"/>
        <v/>
      </c>
    </row>
    <row r="648" spans="1:7">
      <c r="A648" s="10" t="str">
        <f>IF(DATA_INPUT!A71="","",DATA_INPUT!A71)</f>
        <v/>
      </c>
      <c r="B648" t="str">
        <f t="shared" si="3"/>
        <v/>
      </c>
      <c r="C648" t="str">
        <f>IF(DATA_INPUT!B71="","",DATA_INPUT!B71)</f>
        <v/>
      </c>
      <c r="D648" t="str">
        <f>IF(DATA_INPUT!C71="","",DATA_INPUT!C71)</f>
        <v/>
      </c>
      <c r="E648" s="27" t="str">
        <f>IF(DATA_INPUT!D71="","",DATA_INPUT!D71)</f>
        <v/>
      </c>
      <c r="F648" t="str">
        <f t="shared" si="4"/>
        <v/>
      </c>
      <c r="G648" t="str">
        <f t="shared" si="5"/>
        <v/>
      </c>
    </row>
    <row r="649" spans="1:7">
      <c r="A649" s="10" t="str">
        <f>IF(DATA_INPUT!A72="","",DATA_INPUT!A72)</f>
        <v/>
      </c>
      <c r="B649" t="str">
        <f t="shared" si="3"/>
        <v/>
      </c>
      <c r="C649" t="str">
        <f>IF(DATA_INPUT!B72="","",DATA_INPUT!B72)</f>
        <v/>
      </c>
      <c r="D649" t="str">
        <f>IF(DATA_INPUT!C72="","",DATA_INPUT!C72)</f>
        <v/>
      </c>
      <c r="E649" s="27" t="str">
        <f>IF(DATA_INPUT!D72="","",DATA_INPUT!D72)</f>
        <v/>
      </c>
      <c r="F649" t="str">
        <f t="shared" si="4"/>
        <v/>
      </c>
      <c r="G649" t="str">
        <f t="shared" si="5"/>
        <v/>
      </c>
    </row>
    <row r="650" spans="1:7">
      <c r="A650" s="10" t="str">
        <f>IF(DATA_INPUT!A73="","",DATA_INPUT!A73)</f>
        <v/>
      </c>
      <c r="B650" t="str">
        <f t="shared" si="3"/>
        <v/>
      </c>
      <c r="C650" t="str">
        <f>IF(DATA_INPUT!B73="","",DATA_INPUT!B73)</f>
        <v/>
      </c>
      <c r="D650" t="str">
        <f>IF(DATA_INPUT!C73="","",DATA_INPUT!C73)</f>
        <v/>
      </c>
      <c r="E650" s="27" t="str">
        <f>IF(DATA_INPUT!D73="","",DATA_INPUT!D73)</f>
        <v/>
      </c>
      <c r="F650" t="str">
        <f t="shared" si="4"/>
        <v/>
      </c>
      <c r="G650" t="str">
        <f t="shared" si="5"/>
        <v/>
      </c>
    </row>
    <row r="651" spans="1:7">
      <c r="A651" s="10" t="str">
        <f>IF(DATA_INPUT!A74="","",DATA_INPUT!A74)</f>
        <v/>
      </c>
      <c r="B651" t="str">
        <f t="shared" si="3"/>
        <v/>
      </c>
      <c r="C651" t="str">
        <f>IF(DATA_INPUT!B74="","",DATA_INPUT!B74)</f>
        <v/>
      </c>
      <c r="D651" t="str">
        <f>IF(DATA_INPUT!C74="","",DATA_INPUT!C74)</f>
        <v/>
      </c>
      <c r="E651" s="27" t="str">
        <f>IF(DATA_INPUT!D74="","",DATA_INPUT!D74)</f>
        <v/>
      </c>
      <c r="F651" t="str">
        <f t="shared" si="4"/>
        <v/>
      </c>
      <c r="G651" t="str">
        <f t="shared" si="5"/>
        <v/>
      </c>
    </row>
    <row r="652" spans="1:7">
      <c r="A652" s="10" t="str">
        <f>IF(DATA_INPUT!A75="","",DATA_INPUT!A75)</f>
        <v/>
      </c>
      <c r="B652" t="str">
        <f t="shared" si="3"/>
        <v/>
      </c>
      <c r="C652" t="str">
        <f>IF(DATA_INPUT!B75="","",DATA_INPUT!B75)</f>
        <v/>
      </c>
      <c r="D652" t="str">
        <f>IF(DATA_INPUT!C75="","",DATA_INPUT!C75)</f>
        <v/>
      </c>
      <c r="E652" s="27" t="str">
        <f>IF(DATA_INPUT!D75="","",DATA_INPUT!D75)</f>
        <v/>
      </c>
      <c r="F652" t="str">
        <f t="shared" si="4"/>
        <v/>
      </c>
      <c r="G652" t="str">
        <f t="shared" si="5"/>
        <v/>
      </c>
    </row>
    <row r="653" spans="1:7">
      <c r="A653" s="10" t="str">
        <f>IF(DATA_INPUT!A76="","",DATA_INPUT!A76)</f>
        <v/>
      </c>
      <c r="B653" t="str">
        <f t="shared" si="3"/>
        <v/>
      </c>
      <c r="C653" t="str">
        <f>IF(DATA_INPUT!B76="","",DATA_INPUT!B76)</f>
        <v/>
      </c>
      <c r="D653" t="str">
        <f>IF(DATA_INPUT!C76="","",DATA_INPUT!C76)</f>
        <v/>
      </c>
      <c r="E653" s="27" t="str">
        <f>IF(DATA_INPUT!D76="","",DATA_INPUT!D76)</f>
        <v/>
      </c>
      <c r="F653" t="str">
        <f t="shared" si="4"/>
        <v/>
      </c>
      <c r="G653" t="str">
        <f t="shared" si="5"/>
        <v/>
      </c>
    </row>
    <row r="654" spans="1:7">
      <c r="A654" s="10" t="str">
        <f>IF(DATA_INPUT!A77="","",DATA_INPUT!A77)</f>
        <v/>
      </c>
      <c r="B654" t="str">
        <f t="shared" si="3"/>
        <v/>
      </c>
      <c r="C654" t="str">
        <f>IF(DATA_INPUT!B77="","",DATA_INPUT!B77)</f>
        <v/>
      </c>
      <c r="D654" t="str">
        <f>IF(DATA_INPUT!C77="","",DATA_INPUT!C77)</f>
        <v/>
      </c>
      <c r="E654" s="27" t="str">
        <f>IF(DATA_INPUT!D77="","",DATA_INPUT!D77)</f>
        <v/>
      </c>
      <c r="F654" t="str">
        <f t="shared" si="4"/>
        <v/>
      </c>
      <c r="G654" t="str">
        <f t="shared" si="5"/>
        <v/>
      </c>
    </row>
    <row r="655" spans="1:7">
      <c r="A655" s="10" t="str">
        <f>IF(DATA_INPUT!A78="","",DATA_INPUT!A78)</f>
        <v/>
      </c>
      <c r="B655" t="str">
        <f t="shared" si="3"/>
        <v/>
      </c>
      <c r="C655" t="str">
        <f>IF(DATA_INPUT!B78="","",DATA_INPUT!B78)</f>
        <v/>
      </c>
      <c r="D655" t="str">
        <f>IF(DATA_INPUT!C78="","",DATA_INPUT!C78)</f>
        <v/>
      </c>
      <c r="E655" s="27" t="str">
        <f>IF(DATA_INPUT!D78="","",DATA_INPUT!D78)</f>
        <v/>
      </c>
      <c r="F655" t="str">
        <f t="shared" si="4"/>
        <v/>
      </c>
      <c r="G655" t="str">
        <f t="shared" si="5"/>
        <v/>
      </c>
    </row>
    <row r="656" spans="1:7">
      <c r="A656" s="10" t="str">
        <f>IF(DATA_INPUT!A79="","",DATA_INPUT!A79)</f>
        <v/>
      </c>
      <c r="B656" t="str">
        <f t="shared" si="3"/>
        <v/>
      </c>
      <c r="C656" t="str">
        <f>IF(DATA_INPUT!B79="","",DATA_INPUT!B79)</f>
        <v/>
      </c>
      <c r="D656" t="str">
        <f>IF(DATA_INPUT!C79="","",DATA_INPUT!C79)</f>
        <v/>
      </c>
      <c r="E656" s="27" t="str">
        <f>IF(DATA_INPUT!D79="","",DATA_INPUT!D79)</f>
        <v/>
      </c>
      <c r="F656" t="str">
        <f t="shared" si="4"/>
        <v/>
      </c>
      <c r="G656" t="str">
        <f t="shared" si="5"/>
        <v/>
      </c>
    </row>
    <row r="657" spans="1:7">
      <c r="A657" s="10" t="str">
        <f>IF(DATA_INPUT!A80="","",DATA_INPUT!A80)</f>
        <v/>
      </c>
      <c r="B657" t="str">
        <f t="shared" si="3"/>
        <v/>
      </c>
      <c r="C657" t="str">
        <f>IF(DATA_INPUT!B80="","",DATA_INPUT!B80)</f>
        <v/>
      </c>
      <c r="D657" t="str">
        <f>IF(DATA_INPUT!C80="","",DATA_INPUT!C80)</f>
        <v/>
      </c>
      <c r="E657" s="27" t="str">
        <f>IF(DATA_INPUT!D80="","",DATA_INPUT!D80)</f>
        <v/>
      </c>
      <c r="F657" t="str">
        <f t="shared" si="4"/>
        <v/>
      </c>
      <c r="G657" t="str">
        <f t="shared" si="5"/>
        <v/>
      </c>
    </row>
    <row r="658" spans="1:7">
      <c r="A658" s="10" t="str">
        <f>IF(DATA_INPUT!A81="","",DATA_INPUT!A81)</f>
        <v/>
      </c>
      <c r="B658" t="str">
        <f t="shared" si="3"/>
        <v/>
      </c>
      <c r="C658" t="str">
        <f>IF(DATA_INPUT!B81="","",DATA_INPUT!B81)</f>
        <v/>
      </c>
      <c r="D658" t="str">
        <f>IF(DATA_INPUT!C81="","",DATA_INPUT!C81)</f>
        <v/>
      </c>
      <c r="E658" s="27" t="str">
        <f>IF(DATA_INPUT!D81="","",DATA_INPUT!D81)</f>
        <v/>
      </c>
      <c r="F658" t="str">
        <f t="shared" si="4"/>
        <v/>
      </c>
      <c r="G658" t="str">
        <f t="shared" si="5"/>
        <v/>
      </c>
    </row>
    <row r="659" spans="1:7">
      <c r="A659" s="10" t="str">
        <f>IF(DATA_INPUT!A82="","",DATA_INPUT!A82)</f>
        <v/>
      </c>
      <c r="B659" t="str">
        <f t="shared" si="3"/>
        <v/>
      </c>
      <c r="C659" t="str">
        <f>IF(DATA_INPUT!B82="","",DATA_INPUT!B82)</f>
        <v/>
      </c>
      <c r="D659" t="str">
        <f>IF(DATA_INPUT!C82="","",DATA_INPUT!C82)</f>
        <v/>
      </c>
      <c r="E659" s="27" t="str">
        <f>IF(DATA_INPUT!D82="","",DATA_INPUT!D82)</f>
        <v/>
      </c>
      <c r="F659" t="str">
        <f t="shared" si="4"/>
        <v/>
      </c>
      <c r="G659" t="str">
        <f t="shared" si="5"/>
        <v/>
      </c>
    </row>
    <row r="660" spans="1:7">
      <c r="A660" s="10" t="str">
        <f>IF(DATA_INPUT!A83="","",DATA_INPUT!A83)</f>
        <v/>
      </c>
      <c r="B660" t="str">
        <f t="shared" si="3"/>
        <v/>
      </c>
      <c r="C660" t="str">
        <f>IF(DATA_INPUT!B83="","",DATA_INPUT!B83)</f>
        <v/>
      </c>
      <c r="D660" t="str">
        <f>IF(DATA_INPUT!C83="","",DATA_INPUT!C83)</f>
        <v/>
      </c>
      <c r="E660" s="27" t="str">
        <f>IF(DATA_INPUT!D83="","",DATA_INPUT!D83)</f>
        <v/>
      </c>
      <c r="F660" t="str">
        <f t="shared" si="4"/>
        <v/>
      </c>
      <c r="G660" t="str">
        <f t="shared" si="5"/>
        <v/>
      </c>
    </row>
    <row r="661" spans="1:7">
      <c r="A661" s="10" t="str">
        <f>IF(DATA_INPUT!A84="","",DATA_INPUT!A84)</f>
        <v/>
      </c>
      <c r="B661" t="str">
        <f t="shared" si="3"/>
        <v/>
      </c>
      <c r="C661" t="str">
        <f>IF(DATA_INPUT!B84="","",DATA_INPUT!B84)</f>
        <v/>
      </c>
      <c r="D661" t="str">
        <f>IF(DATA_INPUT!C84="","",DATA_INPUT!C84)</f>
        <v/>
      </c>
      <c r="E661" s="27" t="str">
        <f>IF(DATA_INPUT!D84="","",DATA_INPUT!D84)</f>
        <v/>
      </c>
      <c r="F661" t="str">
        <f t="shared" si="4"/>
        <v/>
      </c>
      <c r="G661" t="str">
        <f t="shared" si="5"/>
        <v/>
      </c>
    </row>
    <row r="662" spans="1:7">
      <c r="A662" s="10" t="str">
        <f>IF(DATA_INPUT!A85="","",DATA_INPUT!A85)</f>
        <v/>
      </c>
      <c r="B662" t="str">
        <f t="shared" si="3"/>
        <v/>
      </c>
      <c r="C662" t="str">
        <f>IF(DATA_INPUT!B85="","",DATA_INPUT!B85)</f>
        <v/>
      </c>
      <c r="D662" t="str">
        <f>IF(DATA_INPUT!C85="","",DATA_INPUT!C85)</f>
        <v/>
      </c>
      <c r="E662" s="27" t="str">
        <f>IF(DATA_INPUT!D85="","",DATA_INPUT!D85)</f>
        <v/>
      </c>
      <c r="F662" t="str">
        <f t="shared" si="4"/>
        <v/>
      </c>
      <c r="G662" t="str">
        <f t="shared" si="5"/>
        <v/>
      </c>
    </row>
    <row r="663" spans="1:7">
      <c r="A663" s="10" t="str">
        <f>IF(DATA_INPUT!A86="","",DATA_INPUT!A86)</f>
        <v/>
      </c>
      <c r="B663" t="str">
        <f t="shared" si="3"/>
        <v/>
      </c>
      <c r="C663" t="str">
        <f>IF(DATA_INPUT!B86="","",DATA_INPUT!B86)</f>
        <v/>
      </c>
      <c r="D663" t="str">
        <f>IF(DATA_INPUT!C86="","",DATA_INPUT!C86)</f>
        <v/>
      </c>
      <c r="E663" s="27" t="str">
        <f>IF(DATA_INPUT!D86="","",DATA_INPUT!D86)</f>
        <v/>
      </c>
      <c r="F663" t="str">
        <f t="shared" si="4"/>
        <v/>
      </c>
      <c r="G663" t="str">
        <f t="shared" si="5"/>
        <v/>
      </c>
    </row>
    <row r="664" spans="1:7">
      <c r="A664" s="10" t="str">
        <f>IF(DATA_INPUT!A87="","",DATA_INPUT!A87)</f>
        <v/>
      </c>
      <c r="B664" t="str">
        <f t="shared" si="3"/>
        <v/>
      </c>
      <c r="C664" t="str">
        <f>IF(DATA_INPUT!B87="","",DATA_INPUT!B87)</f>
        <v/>
      </c>
      <c r="D664" t="str">
        <f>IF(DATA_INPUT!C87="","",DATA_INPUT!C87)</f>
        <v/>
      </c>
      <c r="E664" s="27" t="str">
        <f>IF(DATA_INPUT!D87="","",DATA_INPUT!D87)</f>
        <v/>
      </c>
      <c r="F664" t="str">
        <f t="shared" si="4"/>
        <v/>
      </c>
      <c r="G664" t="str">
        <f t="shared" si="5"/>
        <v/>
      </c>
    </row>
    <row r="665" spans="1:7">
      <c r="A665" s="10" t="str">
        <f>IF(DATA_INPUT!A88="","",DATA_INPUT!A88)</f>
        <v/>
      </c>
      <c r="B665" t="str">
        <f t="shared" si="3"/>
        <v/>
      </c>
      <c r="C665" t="str">
        <f>IF(DATA_INPUT!B88="","",DATA_INPUT!B88)</f>
        <v/>
      </c>
      <c r="D665" t="str">
        <f>IF(DATA_INPUT!C88="","",DATA_INPUT!C88)</f>
        <v/>
      </c>
      <c r="E665" s="27" t="str">
        <f>IF(DATA_INPUT!D88="","",DATA_INPUT!D88)</f>
        <v/>
      </c>
      <c r="F665" t="str">
        <f t="shared" si="4"/>
        <v/>
      </c>
      <c r="G665" t="str">
        <f t="shared" si="5"/>
        <v/>
      </c>
    </row>
    <row r="666" spans="1:7">
      <c r="A666" s="10" t="str">
        <f>IF(DATA_INPUT!A89="","",DATA_INPUT!A89)</f>
        <v/>
      </c>
      <c r="B666" t="str">
        <f t="shared" si="3"/>
        <v/>
      </c>
      <c r="C666" t="str">
        <f>IF(DATA_INPUT!B89="","",DATA_INPUT!B89)</f>
        <v/>
      </c>
      <c r="D666" t="str">
        <f>IF(DATA_INPUT!C89="","",DATA_INPUT!C89)</f>
        <v/>
      </c>
      <c r="E666" s="27" t="str">
        <f>IF(DATA_INPUT!D89="","",DATA_INPUT!D89)</f>
        <v/>
      </c>
      <c r="F666" t="str">
        <f t="shared" si="4"/>
        <v/>
      </c>
      <c r="G666" t="str">
        <f t="shared" si="5"/>
        <v/>
      </c>
    </row>
    <row r="667" spans="1:7">
      <c r="A667" s="10" t="str">
        <f>IF(DATA_INPUT!A90="","",DATA_INPUT!A90)</f>
        <v/>
      </c>
      <c r="B667" t="str">
        <f t="shared" si="3"/>
        <v/>
      </c>
      <c r="C667" t="str">
        <f>IF(DATA_INPUT!B90="","",DATA_INPUT!B90)</f>
        <v/>
      </c>
      <c r="D667" t="str">
        <f>IF(DATA_INPUT!C90="","",DATA_INPUT!C90)</f>
        <v/>
      </c>
      <c r="E667" s="27" t="str">
        <f>IF(DATA_INPUT!D90="","",DATA_INPUT!D90)</f>
        <v/>
      </c>
      <c r="F667" t="str">
        <f t="shared" si="4"/>
        <v/>
      </c>
      <c r="G667" t="str">
        <f t="shared" si="5"/>
        <v/>
      </c>
    </row>
    <row r="668" spans="1:7">
      <c r="A668" s="10" t="str">
        <f>IF(DATA_INPUT!A91="","",DATA_INPUT!A91)</f>
        <v/>
      </c>
      <c r="B668" t="str">
        <f t="shared" si="3"/>
        <v/>
      </c>
      <c r="C668" t="str">
        <f>IF(DATA_INPUT!B91="","",DATA_INPUT!B91)</f>
        <v/>
      </c>
      <c r="D668" t="str">
        <f>IF(DATA_INPUT!C91="","",DATA_INPUT!C91)</f>
        <v/>
      </c>
      <c r="E668" s="27" t="str">
        <f>IF(DATA_INPUT!D91="","",DATA_INPUT!D91)</f>
        <v/>
      </c>
      <c r="F668" t="str">
        <f t="shared" si="4"/>
        <v/>
      </c>
      <c r="G668" t="str">
        <f t="shared" si="5"/>
        <v/>
      </c>
    </row>
    <row r="669" spans="1:7">
      <c r="A669" s="10" t="str">
        <f>IF(DATA_INPUT!A92="","",DATA_INPUT!A92)</f>
        <v/>
      </c>
      <c r="B669" t="str">
        <f t="shared" si="3"/>
        <v/>
      </c>
      <c r="C669" t="str">
        <f>IF(DATA_INPUT!B92="","",DATA_INPUT!B92)</f>
        <v/>
      </c>
      <c r="D669" t="str">
        <f>IF(DATA_INPUT!C92="","",DATA_INPUT!C92)</f>
        <v/>
      </c>
      <c r="E669" s="27" t="str">
        <f>IF(DATA_INPUT!D92="","",DATA_INPUT!D92)</f>
        <v/>
      </c>
      <c r="F669" t="str">
        <f t="shared" si="4"/>
        <v/>
      </c>
      <c r="G669" t="str">
        <f t="shared" si="5"/>
        <v/>
      </c>
    </row>
    <row r="670" spans="1:7">
      <c r="A670" s="10" t="str">
        <f>IF(DATA_INPUT!A93="","",DATA_INPUT!A93)</f>
        <v/>
      </c>
      <c r="B670" t="str">
        <f t="shared" si="3"/>
        <v/>
      </c>
      <c r="C670" t="str">
        <f>IF(DATA_INPUT!B93="","",DATA_INPUT!B93)</f>
        <v/>
      </c>
      <c r="D670" t="str">
        <f>IF(DATA_INPUT!C93="","",DATA_INPUT!C93)</f>
        <v/>
      </c>
      <c r="E670" s="27" t="str">
        <f>IF(DATA_INPUT!D93="","",DATA_INPUT!D93)</f>
        <v/>
      </c>
      <c r="F670" t="str">
        <f t="shared" si="4"/>
        <v/>
      </c>
      <c r="G670" t="str">
        <f t="shared" si="5"/>
        <v/>
      </c>
    </row>
    <row r="671" spans="1:7">
      <c r="A671" s="10" t="str">
        <f>IF(DATA_INPUT!A94="","",DATA_INPUT!A94)</f>
        <v/>
      </c>
      <c r="B671" t="str">
        <f t="shared" si="3"/>
        <v/>
      </c>
      <c r="C671" t="str">
        <f>IF(DATA_INPUT!B94="","",DATA_INPUT!B94)</f>
        <v/>
      </c>
      <c r="D671" t="str">
        <f>IF(DATA_INPUT!C94="","",DATA_INPUT!C94)</f>
        <v/>
      </c>
      <c r="E671" s="27" t="str">
        <f>IF(DATA_INPUT!D94="","",DATA_INPUT!D94)</f>
        <v/>
      </c>
      <c r="F671" t="str">
        <f t="shared" si="4"/>
        <v/>
      </c>
      <c r="G671" t="str">
        <f t="shared" si="5"/>
        <v/>
      </c>
    </row>
    <row r="672" spans="1:7">
      <c r="A672" s="10" t="str">
        <f>IF(DATA_INPUT!A95="","",DATA_INPUT!A95)</f>
        <v/>
      </c>
      <c r="B672" t="str">
        <f t="shared" si="3"/>
        <v/>
      </c>
      <c r="C672" t="str">
        <f>IF(DATA_INPUT!B95="","",DATA_INPUT!B95)</f>
        <v/>
      </c>
      <c r="D672" t="str">
        <f>IF(DATA_INPUT!C95="","",DATA_INPUT!C95)</f>
        <v/>
      </c>
      <c r="E672" s="27" t="str">
        <f>IF(DATA_INPUT!D95="","",DATA_INPUT!D95)</f>
        <v/>
      </c>
      <c r="F672" t="str">
        <f t="shared" si="4"/>
        <v/>
      </c>
      <c r="G672" t="str">
        <f t="shared" si="5"/>
        <v/>
      </c>
    </row>
    <row r="673" spans="1:7">
      <c r="A673" s="10" t="str">
        <f>IF(DATA_INPUT!A96="","",DATA_INPUT!A96)</f>
        <v/>
      </c>
      <c r="B673" t="str">
        <f t="shared" si="3"/>
        <v/>
      </c>
      <c r="C673" t="str">
        <f>IF(DATA_INPUT!B96="","",DATA_INPUT!B96)</f>
        <v/>
      </c>
      <c r="D673" t="str">
        <f>IF(DATA_INPUT!C96="","",DATA_INPUT!C96)</f>
        <v/>
      </c>
      <c r="E673" s="27" t="str">
        <f>IF(DATA_INPUT!D96="","",DATA_INPUT!D96)</f>
        <v/>
      </c>
      <c r="F673" t="str">
        <f t="shared" si="4"/>
        <v/>
      </c>
      <c r="G673" t="str">
        <f t="shared" si="5"/>
        <v/>
      </c>
    </row>
    <row r="674" spans="1:7">
      <c r="A674" s="10" t="str">
        <f>IF(DATA_INPUT!A97="","",DATA_INPUT!A97)</f>
        <v/>
      </c>
      <c r="B674" t="str">
        <f t="shared" si="3"/>
        <v/>
      </c>
      <c r="C674" t="str">
        <f>IF(DATA_INPUT!B97="","",DATA_INPUT!B97)</f>
        <v/>
      </c>
      <c r="D674" t="str">
        <f>IF(DATA_INPUT!C97="","",DATA_INPUT!C97)</f>
        <v/>
      </c>
      <c r="E674" s="27" t="str">
        <f>IF(DATA_INPUT!D97="","",DATA_INPUT!D97)</f>
        <v/>
      </c>
      <c r="F674" t="str">
        <f t="shared" si="4"/>
        <v/>
      </c>
      <c r="G674" t="str">
        <f t="shared" si="5"/>
        <v/>
      </c>
    </row>
    <row r="675" spans="1:7">
      <c r="A675" s="10" t="str">
        <f>IF(DATA_INPUT!A98="","",DATA_INPUT!A98)</f>
        <v/>
      </c>
      <c r="B675" t="str">
        <f t="shared" si="3"/>
        <v/>
      </c>
      <c r="C675" t="str">
        <f>IF(DATA_INPUT!B98="","",DATA_INPUT!B98)</f>
        <v/>
      </c>
      <c r="D675" t="str">
        <f>IF(DATA_INPUT!C98="","",DATA_INPUT!C98)</f>
        <v/>
      </c>
      <c r="E675" s="27" t="str">
        <f>IF(DATA_INPUT!D98="","",DATA_INPUT!D98)</f>
        <v/>
      </c>
      <c r="F675" t="str">
        <f t="shared" si="4"/>
        <v/>
      </c>
      <c r="G675" t="str">
        <f t="shared" si="5"/>
        <v/>
      </c>
    </row>
    <row r="676" spans="1:7">
      <c r="A676" s="10" t="str">
        <f>IF(DATA_INPUT!A99="","",DATA_INPUT!A99)</f>
        <v/>
      </c>
      <c r="B676" t="str">
        <f t="shared" si="3"/>
        <v/>
      </c>
      <c r="C676" t="str">
        <f>IF(DATA_INPUT!B99="","",DATA_INPUT!B99)</f>
        <v/>
      </c>
      <c r="D676" t="str">
        <f>IF(DATA_INPUT!C99="","",DATA_INPUT!C99)</f>
        <v/>
      </c>
      <c r="E676" s="27" t="str">
        <f>IF(DATA_INPUT!D99="","",DATA_INPUT!D99)</f>
        <v/>
      </c>
      <c r="F676" t="str">
        <f t="shared" si="4"/>
        <v/>
      </c>
      <c r="G676" t="str">
        <f t="shared" si="5"/>
        <v/>
      </c>
    </row>
    <row r="677" spans="1:7">
      <c r="A677" s="10" t="str">
        <f>IF(DATA_INPUT!A100="","",DATA_INPUT!A100)</f>
        <v/>
      </c>
      <c r="B677" t="str">
        <f t="shared" si="3"/>
        <v/>
      </c>
      <c r="C677" t="str">
        <f>IF(DATA_INPUT!B100="","",DATA_INPUT!B100)</f>
        <v/>
      </c>
      <c r="D677" t="str">
        <f>IF(DATA_INPUT!C100="","",DATA_INPUT!C100)</f>
        <v/>
      </c>
      <c r="E677" s="27" t="str">
        <f>IF(DATA_INPUT!D100="","",DATA_INPUT!D100)</f>
        <v/>
      </c>
      <c r="F677" t="str">
        <f t="shared" si="4"/>
        <v/>
      </c>
      <c r="G677" t="str">
        <f t="shared" si="5"/>
        <v/>
      </c>
    </row>
    <row r="678" spans="1:7">
      <c r="A678" s="10" t="str">
        <f>IF(DATA_INPUT!A101="","",DATA_INPUT!A101)</f>
        <v/>
      </c>
      <c r="B678" t="str">
        <f t="shared" si="3"/>
        <v/>
      </c>
      <c r="C678" t="str">
        <f>IF(DATA_INPUT!B101="","",DATA_INPUT!B101)</f>
        <v/>
      </c>
      <c r="D678" t="str">
        <f>IF(DATA_INPUT!C101="","",DATA_INPUT!C101)</f>
        <v/>
      </c>
      <c r="E678" s="27" t="str">
        <f>IF(DATA_INPUT!D101="","",DATA_INPUT!D101)</f>
        <v/>
      </c>
      <c r="F678" t="str">
        <f t="shared" si="4"/>
        <v/>
      </c>
      <c r="G678" t="str">
        <f t="shared" si="5"/>
        <v/>
      </c>
    </row>
    <row r="679" spans="1:7">
      <c r="A679" s="10" t="str">
        <f>IF(DATA_INPUT!A102="","",DATA_INPUT!A102)</f>
        <v/>
      </c>
      <c r="B679" t="str">
        <f t="shared" si="3"/>
        <v/>
      </c>
      <c r="C679" t="str">
        <f>IF(DATA_INPUT!B102="","",DATA_INPUT!B102)</f>
        <v/>
      </c>
      <c r="D679" t="str">
        <f>IF(DATA_INPUT!C102="","",DATA_INPUT!C102)</f>
        <v/>
      </c>
      <c r="E679" s="27" t="str">
        <f>IF(DATA_INPUT!D102="","",DATA_INPUT!D102)</f>
        <v/>
      </c>
      <c r="F679" t="str">
        <f t="shared" si="4"/>
        <v/>
      </c>
      <c r="G679" t="str">
        <f t="shared" si="5"/>
        <v/>
      </c>
    </row>
    <row r="680" spans="1:7">
      <c r="A680" s="10" t="str">
        <f>IF(DATA_INPUT!A103="","",DATA_INPUT!A103)</f>
        <v/>
      </c>
      <c r="B680" t="str">
        <f t="shared" si="3"/>
        <v/>
      </c>
      <c r="C680" t="str">
        <f>IF(DATA_INPUT!B103="","",DATA_INPUT!B103)</f>
        <v/>
      </c>
      <c r="D680" t="str">
        <f>IF(DATA_INPUT!C103="","",DATA_INPUT!C103)</f>
        <v/>
      </c>
      <c r="E680" s="27" t="str">
        <f>IF(DATA_INPUT!D103="","",DATA_INPUT!D103)</f>
        <v/>
      </c>
      <c r="F680" t="str">
        <f t="shared" si="4"/>
        <v/>
      </c>
      <c r="G680" t="str">
        <f t="shared" si="5"/>
        <v/>
      </c>
    </row>
    <row r="681" spans="1:7">
      <c r="A681" s="10" t="str">
        <f>IF(DATA_INPUT!A104="","",DATA_INPUT!A104)</f>
        <v/>
      </c>
      <c r="B681" t="str">
        <f t="shared" si="3"/>
        <v/>
      </c>
      <c r="C681" t="str">
        <f>IF(DATA_INPUT!B104="","",DATA_INPUT!B104)</f>
        <v/>
      </c>
      <c r="D681" t="str">
        <f>IF(DATA_INPUT!C104="","",DATA_INPUT!C104)</f>
        <v/>
      </c>
      <c r="E681" s="27" t="str">
        <f>IF(DATA_INPUT!D104="","",DATA_INPUT!D104)</f>
        <v/>
      </c>
      <c r="F681" t="str">
        <f t="shared" si="4"/>
        <v/>
      </c>
      <c r="G681" t="str">
        <f t="shared" si="5"/>
        <v/>
      </c>
    </row>
    <row r="682" spans="1:7">
      <c r="A682" s="10" t="str">
        <f>IF(DATA_INPUT!A105="","",DATA_INPUT!A105)</f>
        <v/>
      </c>
      <c r="B682" t="str">
        <f t="shared" si="3"/>
        <v/>
      </c>
      <c r="C682" t="str">
        <f>IF(DATA_INPUT!B105="","",DATA_INPUT!B105)</f>
        <v/>
      </c>
      <c r="D682" t="str">
        <f>IF(DATA_INPUT!C105="","",DATA_INPUT!C105)</f>
        <v/>
      </c>
      <c r="E682" s="27" t="str">
        <f>IF(DATA_INPUT!D105="","",DATA_INPUT!D105)</f>
        <v/>
      </c>
      <c r="F682" t="str">
        <f t="shared" si="4"/>
        <v/>
      </c>
      <c r="G682" t="str">
        <f t="shared" si="5"/>
        <v/>
      </c>
    </row>
    <row r="683" spans="1:7">
      <c r="A683" s="10" t="str">
        <f>IF(DATA_INPUT!A106="","",DATA_INPUT!A106)</f>
        <v/>
      </c>
      <c r="B683" t="str">
        <f t="shared" si="3"/>
        <v/>
      </c>
      <c r="C683" t="str">
        <f>IF(DATA_INPUT!B106="","",DATA_INPUT!B106)</f>
        <v/>
      </c>
      <c r="D683" t="str">
        <f>IF(DATA_INPUT!C106="","",DATA_INPUT!C106)</f>
        <v/>
      </c>
      <c r="E683" s="27" t="str">
        <f>IF(DATA_INPUT!D106="","",DATA_INPUT!D106)</f>
        <v/>
      </c>
      <c r="F683" t="str">
        <f t="shared" si="4"/>
        <v/>
      </c>
      <c r="G683" t="str">
        <f t="shared" si="5"/>
        <v/>
      </c>
    </row>
    <row r="684" spans="1:7">
      <c r="A684" s="10" t="str">
        <f>IF(DATA_INPUT!A107="","",DATA_INPUT!A107)</f>
        <v/>
      </c>
      <c r="B684" t="str">
        <f t="shared" si="3"/>
        <v/>
      </c>
      <c r="C684" t="str">
        <f>IF(DATA_INPUT!B107="","",DATA_INPUT!B107)</f>
        <v/>
      </c>
      <c r="D684" t="str">
        <f>IF(DATA_INPUT!C107="","",DATA_INPUT!C107)</f>
        <v/>
      </c>
      <c r="E684" s="27" t="str">
        <f>IF(DATA_INPUT!D107="","",DATA_INPUT!D107)</f>
        <v/>
      </c>
      <c r="F684" t="str">
        <f t="shared" si="4"/>
        <v/>
      </c>
      <c r="G684" t="str">
        <f t="shared" si="5"/>
        <v/>
      </c>
    </row>
    <row r="685" spans="1:7">
      <c r="A685" s="10" t="str">
        <f>IF(DATA_INPUT!A108="","",DATA_INPUT!A108)</f>
        <v/>
      </c>
      <c r="B685" t="str">
        <f t="shared" si="3"/>
        <v/>
      </c>
      <c r="C685" t="str">
        <f>IF(DATA_INPUT!B108="","",DATA_INPUT!B108)</f>
        <v/>
      </c>
      <c r="D685" t="str">
        <f>IF(DATA_INPUT!C108="","",DATA_INPUT!C108)</f>
        <v/>
      </c>
      <c r="E685" s="27" t="str">
        <f>IF(DATA_INPUT!D108="","",DATA_INPUT!D108)</f>
        <v/>
      </c>
      <c r="F685" t="str">
        <f t="shared" si="4"/>
        <v/>
      </c>
      <c r="G685" t="str">
        <f t="shared" si="5"/>
        <v/>
      </c>
    </row>
    <row r="686" spans="1:7">
      <c r="A686" s="10" t="str">
        <f>IF(DATA_INPUT!A109="","",DATA_INPUT!A109)</f>
        <v/>
      </c>
      <c r="B686" t="str">
        <f t="shared" si="3"/>
        <v/>
      </c>
      <c r="C686" t="str">
        <f>IF(DATA_INPUT!B109="","",DATA_INPUT!B109)</f>
        <v/>
      </c>
      <c r="D686" t="str">
        <f>IF(DATA_INPUT!C109="","",DATA_INPUT!C109)</f>
        <v/>
      </c>
      <c r="E686" s="27" t="str">
        <f>IF(DATA_INPUT!D109="","",DATA_INPUT!D109)</f>
        <v/>
      </c>
      <c r="F686" t="str">
        <f t="shared" si="4"/>
        <v/>
      </c>
      <c r="G686" t="str">
        <f t="shared" si="5"/>
        <v/>
      </c>
    </row>
    <row r="687" spans="1:7">
      <c r="A687" s="10" t="str">
        <f>IF(DATA_INPUT!A110="","",DATA_INPUT!A110)</f>
        <v/>
      </c>
      <c r="B687" t="str">
        <f t="shared" si="3"/>
        <v/>
      </c>
      <c r="C687" t="str">
        <f>IF(DATA_INPUT!B110="","",DATA_INPUT!B110)</f>
        <v/>
      </c>
      <c r="D687" t="str">
        <f>IF(DATA_INPUT!C110="","",DATA_INPUT!C110)</f>
        <v/>
      </c>
      <c r="E687" s="27" t="str">
        <f>IF(DATA_INPUT!D110="","",DATA_INPUT!D110)</f>
        <v/>
      </c>
      <c r="F687" t="str">
        <f t="shared" si="4"/>
        <v/>
      </c>
      <c r="G687" t="str">
        <f t="shared" si="5"/>
        <v/>
      </c>
    </row>
    <row r="688" spans="1:7">
      <c r="A688" s="10" t="str">
        <f>IF(DATA_INPUT!A111="","",DATA_INPUT!A111)</f>
        <v/>
      </c>
      <c r="B688" t="str">
        <f t="shared" si="3"/>
        <v/>
      </c>
      <c r="C688" t="str">
        <f>IF(DATA_INPUT!B111="","",DATA_INPUT!B111)</f>
        <v/>
      </c>
      <c r="D688" t="str">
        <f>IF(DATA_INPUT!C111="","",DATA_INPUT!C111)</f>
        <v/>
      </c>
      <c r="E688" s="27" t="str">
        <f>IF(DATA_INPUT!D111="","",DATA_INPUT!D111)</f>
        <v/>
      </c>
      <c r="F688" t="str">
        <f t="shared" si="4"/>
        <v/>
      </c>
      <c r="G688" t="str">
        <f t="shared" si="5"/>
        <v/>
      </c>
    </row>
    <row r="689" spans="1:7">
      <c r="A689" s="10" t="str">
        <f>IF(DATA_INPUT!A112="","",DATA_INPUT!A112)</f>
        <v/>
      </c>
      <c r="B689" t="str">
        <f t="shared" si="3"/>
        <v/>
      </c>
      <c r="C689" t="str">
        <f>IF(DATA_INPUT!B112="","",DATA_INPUT!B112)</f>
        <v/>
      </c>
      <c r="D689" t="str">
        <f>IF(DATA_INPUT!C112="","",DATA_INPUT!C112)</f>
        <v/>
      </c>
      <c r="E689" s="27" t="str">
        <f>IF(DATA_INPUT!D112="","",DATA_INPUT!D112)</f>
        <v/>
      </c>
      <c r="F689" t="str">
        <f t="shared" si="4"/>
        <v/>
      </c>
      <c r="G689" t="str">
        <f t="shared" si="5"/>
        <v/>
      </c>
    </row>
    <row r="690" spans="1:7">
      <c r="A690" s="10" t="str">
        <f>IF(DATA_INPUT!A113="","",DATA_INPUT!A113)</f>
        <v/>
      </c>
      <c r="B690" t="str">
        <f t="shared" si="3"/>
        <v/>
      </c>
      <c r="C690" t="str">
        <f>IF(DATA_INPUT!B113="","",DATA_INPUT!B113)</f>
        <v/>
      </c>
      <c r="D690" t="str">
        <f>IF(DATA_INPUT!C113="","",DATA_INPUT!C113)</f>
        <v/>
      </c>
      <c r="E690" s="27" t="str">
        <f>IF(DATA_INPUT!D113="","",DATA_INPUT!D113)</f>
        <v/>
      </c>
      <c r="F690" t="str">
        <f t="shared" si="4"/>
        <v/>
      </c>
      <c r="G690" t="str">
        <f t="shared" si="5"/>
        <v/>
      </c>
    </row>
    <row r="691" spans="1:7">
      <c r="A691" s="10" t="str">
        <f>IF(DATA_INPUT!A114="","",DATA_INPUT!A114)</f>
        <v/>
      </c>
      <c r="B691" t="str">
        <f t="shared" si="3"/>
        <v/>
      </c>
      <c r="C691" t="str">
        <f>IF(DATA_INPUT!B114="","",DATA_INPUT!B114)</f>
        <v/>
      </c>
      <c r="D691" t="str">
        <f>IF(DATA_INPUT!C114="","",DATA_INPUT!C114)</f>
        <v/>
      </c>
      <c r="E691" s="27" t="str">
        <f>IF(DATA_INPUT!D114="","",DATA_INPUT!D114)</f>
        <v/>
      </c>
      <c r="F691" t="str">
        <f t="shared" si="4"/>
        <v/>
      </c>
      <c r="G691" t="str">
        <f t="shared" si="5"/>
        <v/>
      </c>
    </row>
    <row r="692" spans="1:7">
      <c r="A692" s="10" t="str">
        <f>IF(DATA_INPUT!A115="","",DATA_INPUT!A115)</f>
        <v/>
      </c>
      <c r="B692" t="str">
        <f t="shared" si="3"/>
        <v/>
      </c>
      <c r="C692" t="str">
        <f>IF(DATA_INPUT!B115="","",DATA_INPUT!B115)</f>
        <v/>
      </c>
      <c r="D692" t="str">
        <f>IF(DATA_INPUT!C115="","",DATA_INPUT!C115)</f>
        <v/>
      </c>
      <c r="E692" s="27" t="str">
        <f>IF(DATA_INPUT!D115="","",DATA_INPUT!D115)</f>
        <v/>
      </c>
      <c r="F692" t="str">
        <f t="shared" si="4"/>
        <v/>
      </c>
      <c r="G692" t="str">
        <f t="shared" si="5"/>
        <v/>
      </c>
    </row>
    <row r="693" spans="1:7">
      <c r="A693" s="10" t="str">
        <f>IF(DATA_INPUT!A116="","",DATA_INPUT!A116)</f>
        <v/>
      </c>
      <c r="B693" t="str">
        <f t="shared" si="3"/>
        <v/>
      </c>
      <c r="C693" t="str">
        <f>IF(DATA_INPUT!B116="","",DATA_INPUT!B116)</f>
        <v/>
      </c>
      <c r="D693" t="str">
        <f>IF(DATA_INPUT!C116="","",DATA_INPUT!C116)</f>
        <v/>
      </c>
      <c r="E693" s="27" t="str">
        <f>IF(DATA_INPUT!D116="","",DATA_INPUT!D116)</f>
        <v/>
      </c>
      <c r="F693" t="str">
        <f t="shared" si="4"/>
        <v/>
      </c>
      <c r="G693" t="str">
        <f t="shared" si="5"/>
        <v/>
      </c>
    </row>
    <row r="694" spans="1:7">
      <c r="A694" s="10" t="str">
        <f>IF(DATA_INPUT!A117="","",DATA_INPUT!A117)</f>
        <v/>
      </c>
      <c r="B694" t="str">
        <f t="shared" si="3"/>
        <v/>
      </c>
      <c r="C694" t="str">
        <f>IF(DATA_INPUT!B117="","",DATA_INPUT!B117)</f>
        <v/>
      </c>
      <c r="D694" t="str">
        <f>IF(DATA_INPUT!C117="","",DATA_INPUT!C117)</f>
        <v/>
      </c>
      <c r="E694" s="27" t="str">
        <f>IF(DATA_INPUT!D117="","",DATA_INPUT!D117)</f>
        <v/>
      </c>
      <c r="F694" t="str">
        <f t="shared" si="4"/>
        <v/>
      </c>
      <c r="G694" t="str">
        <f t="shared" si="5"/>
        <v/>
      </c>
    </row>
    <row r="695" spans="1:7">
      <c r="A695" s="10" t="str">
        <f>IF(DATA_INPUT!A118="","",DATA_INPUT!A118)</f>
        <v/>
      </c>
      <c r="B695" t="str">
        <f t="shared" si="3"/>
        <v/>
      </c>
      <c r="C695" t="str">
        <f>IF(DATA_INPUT!B118="","",DATA_INPUT!B118)</f>
        <v/>
      </c>
      <c r="D695" t="str">
        <f>IF(DATA_INPUT!C118="","",DATA_INPUT!C118)</f>
        <v/>
      </c>
      <c r="E695" s="27" t="str">
        <f>IF(DATA_INPUT!D118="","",DATA_INPUT!D118)</f>
        <v/>
      </c>
      <c r="F695" t="str">
        <f t="shared" si="4"/>
        <v/>
      </c>
      <c r="G695" t="str">
        <f t="shared" si="5"/>
        <v/>
      </c>
    </row>
    <row r="696" spans="1:7">
      <c r="A696" s="10" t="str">
        <f>IF(DATA_INPUT!A119="","",DATA_INPUT!A119)</f>
        <v/>
      </c>
      <c r="B696" t="str">
        <f t="shared" si="3"/>
        <v/>
      </c>
      <c r="C696" t="str">
        <f>IF(DATA_INPUT!B119="","",DATA_INPUT!B119)</f>
        <v/>
      </c>
      <c r="D696" t="str">
        <f>IF(DATA_INPUT!C119="","",DATA_INPUT!C119)</f>
        <v/>
      </c>
      <c r="E696" s="27" t="str">
        <f>IF(DATA_INPUT!D119="","",DATA_INPUT!D119)</f>
        <v/>
      </c>
      <c r="F696" t="str">
        <f t="shared" si="4"/>
        <v/>
      </c>
      <c r="G696" t="str">
        <f t="shared" si="5"/>
        <v/>
      </c>
    </row>
    <row r="697" spans="1:7">
      <c r="A697" s="10" t="str">
        <f>IF(DATA_INPUT!A120="","",DATA_INPUT!A120)</f>
        <v/>
      </c>
      <c r="B697" t="str">
        <f t="shared" si="3"/>
        <v/>
      </c>
      <c r="C697" t="str">
        <f>IF(DATA_INPUT!B120="","",DATA_INPUT!B120)</f>
        <v/>
      </c>
      <c r="D697" t="str">
        <f>IF(DATA_INPUT!C120="","",DATA_INPUT!C120)</f>
        <v/>
      </c>
      <c r="E697" s="27" t="str">
        <f>IF(DATA_INPUT!D120="","",DATA_INPUT!D120)</f>
        <v/>
      </c>
      <c r="F697" t="str">
        <f t="shared" si="4"/>
        <v/>
      </c>
      <c r="G697" t="str">
        <f t="shared" si="5"/>
        <v/>
      </c>
    </row>
    <row r="698" spans="1:7">
      <c r="A698" s="10" t="str">
        <f>IF(DATA_INPUT!A121="","",DATA_INPUT!A121)</f>
        <v/>
      </c>
      <c r="B698" t="str">
        <f t="shared" si="3"/>
        <v/>
      </c>
      <c r="C698" t="str">
        <f>IF(DATA_INPUT!B121="","",DATA_INPUT!B121)</f>
        <v/>
      </c>
      <c r="D698" t="str">
        <f>IF(DATA_INPUT!C121="","",DATA_INPUT!C121)</f>
        <v/>
      </c>
      <c r="E698" s="27" t="str">
        <f>IF(DATA_INPUT!D121="","",DATA_INPUT!D121)</f>
        <v/>
      </c>
      <c r="F698" t="str">
        <f t="shared" si="4"/>
        <v/>
      </c>
      <c r="G698" t="str">
        <f t="shared" si="5"/>
        <v/>
      </c>
    </row>
    <row r="699" spans="1:7">
      <c r="A699" s="10" t="str">
        <f>IF(DATA_INPUT!A122="","",DATA_INPUT!A122)</f>
        <v/>
      </c>
      <c r="B699" t="str">
        <f t="shared" si="3"/>
        <v/>
      </c>
      <c r="C699" t="str">
        <f>IF(DATA_INPUT!B122="","",DATA_INPUT!B122)</f>
        <v/>
      </c>
      <c r="D699" t="str">
        <f>IF(DATA_INPUT!C122="","",DATA_INPUT!C122)</f>
        <v/>
      </c>
      <c r="E699" s="27" t="str">
        <f>IF(DATA_INPUT!D122="","",DATA_INPUT!D122)</f>
        <v/>
      </c>
      <c r="F699" t="str">
        <f t="shared" si="4"/>
        <v/>
      </c>
      <c r="G699" t="str">
        <f t="shared" si="5"/>
        <v/>
      </c>
    </row>
    <row r="700" spans="1:7">
      <c r="A700" s="10" t="str">
        <f>IF(DATA_INPUT!A123="","",DATA_INPUT!A123)</f>
        <v/>
      </c>
      <c r="B700" t="str">
        <f t="shared" si="3"/>
        <v/>
      </c>
      <c r="C700" t="str">
        <f>IF(DATA_INPUT!B123="","",DATA_INPUT!B123)</f>
        <v/>
      </c>
      <c r="D700" t="str">
        <f>IF(DATA_INPUT!C123="","",DATA_INPUT!C123)</f>
        <v/>
      </c>
      <c r="E700" s="27" t="str">
        <f>IF(DATA_INPUT!D123="","",DATA_INPUT!D123)</f>
        <v/>
      </c>
      <c r="F700" t="str">
        <f t="shared" si="4"/>
        <v/>
      </c>
      <c r="G700" t="str">
        <f t="shared" si="5"/>
        <v/>
      </c>
    </row>
    <row r="701" spans="1:7">
      <c r="A701" s="10" t="str">
        <f>IF(DATA_INPUT!A124="","",DATA_INPUT!A124)</f>
        <v/>
      </c>
      <c r="B701" t="str">
        <f t="shared" si="3"/>
        <v/>
      </c>
      <c r="C701" t="str">
        <f>IF(DATA_INPUT!B124="","",DATA_INPUT!B124)</f>
        <v/>
      </c>
      <c r="D701" t="str">
        <f>IF(DATA_INPUT!C124="","",DATA_INPUT!C124)</f>
        <v/>
      </c>
      <c r="E701" s="27" t="str">
        <f>IF(DATA_INPUT!D124="","",DATA_INPUT!D124)</f>
        <v/>
      </c>
      <c r="F701" t="str">
        <f t="shared" si="4"/>
        <v/>
      </c>
      <c r="G701" t="str">
        <f t="shared" si="5"/>
        <v/>
      </c>
    </row>
    <row r="702" spans="1:7">
      <c r="A702" s="10" t="str">
        <f>IF(DATA_INPUT!A125="","",DATA_INPUT!A125)</f>
        <v/>
      </c>
      <c r="B702" t="str">
        <f t="shared" si="3"/>
        <v/>
      </c>
      <c r="C702" t="str">
        <f>IF(DATA_INPUT!B125="","",DATA_INPUT!B125)</f>
        <v/>
      </c>
      <c r="D702" t="str">
        <f>IF(DATA_INPUT!C125="","",DATA_INPUT!C125)</f>
        <v/>
      </c>
      <c r="E702" s="27" t="str">
        <f>IF(DATA_INPUT!D125="","",DATA_INPUT!D125)</f>
        <v/>
      </c>
      <c r="F702" t="str">
        <f t="shared" si="4"/>
        <v/>
      </c>
      <c r="G702" t="str">
        <f t="shared" si="5"/>
        <v/>
      </c>
    </row>
    <row r="703" spans="1:7">
      <c r="A703" s="10" t="str">
        <f>IF(DATA_INPUT!A126="","",DATA_INPUT!A126)</f>
        <v/>
      </c>
      <c r="B703" t="str">
        <f t="shared" si="3"/>
        <v/>
      </c>
      <c r="C703" t="str">
        <f>IF(DATA_INPUT!B126="","",DATA_INPUT!B126)</f>
        <v/>
      </c>
      <c r="D703" t="str">
        <f>IF(DATA_INPUT!C126="","",DATA_INPUT!C126)</f>
        <v/>
      </c>
      <c r="E703" s="27" t="str">
        <f>IF(DATA_INPUT!D126="","",DATA_INPUT!D126)</f>
        <v/>
      </c>
      <c r="F703" t="str">
        <f t="shared" si="4"/>
        <v/>
      </c>
      <c r="G703" t="str">
        <f t="shared" si="5"/>
        <v/>
      </c>
    </row>
    <row r="704" spans="1:7">
      <c r="A704" s="10" t="str">
        <f>IF(DATA_INPUT!A127="","",DATA_INPUT!A127)</f>
        <v/>
      </c>
      <c r="B704" t="str">
        <f t="shared" si="3"/>
        <v/>
      </c>
      <c r="C704" t="str">
        <f>IF(DATA_INPUT!B127="","",DATA_INPUT!B127)</f>
        <v/>
      </c>
      <c r="D704" t="str">
        <f>IF(DATA_INPUT!C127="","",DATA_INPUT!C127)</f>
        <v/>
      </c>
      <c r="E704" s="27" t="str">
        <f>IF(DATA_INPUT!D127="","",DATA_INPUT!D127)</f>
        <v/>
      </c>
      <c r="F704" t="str">
        <f t="shared" si="4"/>
        <v/>
      </c>
      <c r="G704" t="str">
        <f t="shared" si="5"/>
        <v/>
      </c>
    </row>
    <row r="705" spans="1:7">
      <c r="A705" s="10" t="str">
        <f>IF(DATA_INPUT!A128="","",DATA_INPUT!A128)</f>
        <v/>
      </c>
      <c r="B705" t="str">
        <f t="shared" si="3"/>
        <v/>
      </c>
      <c r="C705" t="str">
        <f>IF(DATA_INPUT!B128="","",DATA_INPUT!B128)</f>
        <v/>
      </c>
      <c r="D705" t="str">
        <f>IF(DATA_INPUT!C128="","",DATA_INPUT!C128)</f>
        <v/>
      </c>
      <c r="E705" s="27" t="str">
        <f>IF(DATA_INPUT!D128="","",DATA_INPUT!D128)</f>
        <v/>
      </c>
      <c r="F705" t="str">
        <f t="shared" si="4"/>
        <v/>
      </c>
      <c r="G705" t="str">
        <f t="shared" si="5"/>
        <v/>
      </c>
    </row>
    <row r="706" spans="1:7">
      <c r="A706" s="10" t="str">
        <f>IF(DATA_INPUT!A129="","",DATA_INPUT!A129)</f>
        <v/>
      </c>
      <c r="B706" t="str">
        <f t="shared" si="3"/>
        <v/>
      </c>
      <c r="C706" t="str">
        <f>IF(DATA_INPUT!B129="","",DATA_INPUT!B129)</f>
        <v/>
      </c>
      <c r="D706" t="str">
        <f>IF(DATA_INPUT!C129="","",DATA_INPUT!C129)</f>
        <v/>
      </c>
      <c r="E706" s="27" t="str">
        <f>IF(DATA_INPUT!D129="","",DATA_INPUT!D129)</f>
        <v/>
      </c>
      <c r="F706" t="str">
        <f t="shared" si="4"/>
        <v/>
      </c>
      <c r="G706" t="str">
        <f t="shared" si="5"/>
        <v/>
      </c>
    </row>
    <row r="707" spans="1:7">
      <c r="A707" s="10" t="str">
        <f>IF(DATA_INPUT!A130="","",DATA_INPUT!A130)</f>
        <v/>
      </c>
      <c r="B707" t="str">
        <f t="shared" si="3"/>
        <v/>
      </c>
      <c r="C707" t="str">
        <f>IF(DATA_INPUT!B130="","",DATA_INPUT!B130)</f>
        <v/>
      </c>
      <c r="D707" t="str">
        <f>IF(DATA_INPUT!C130="","",DATA_INPUT!C130)</f>
        <v/>
      </c>
      <c r="E707" s="27" t="str">
        <f>IF(DATA_INPUT!D130="","",DATA_INPUT!D130)</f>
        <v/>
      </c>
      <c r="F707" t="str">
        <f t="shared" si="4"/>
        <v/>
      </c>
      <c r="G707" t="str">
        <f t="shared" si="5"/>
        <v/>
      </c>
    </row>
    <row r="708" spans="1:7">
      <c r="A708" s="10" t="str">
        <f>IF(DATA_INPUT!A131="","",DATA_INPUT!A131)</f>
        <v/>
      </c>
      <c r="B708" t="str">
        <f t="shared" ref="B708:B771" si="6">IF(A708="","",TEXT(A708,"dddd"))</f>
        <v/>
      </c>
      <c r="C708" t="str">
        <f>IF(DATA_INPUT!B131="","",DATA_INPUT!B131)</f>
        <v/>
      </c>
      <c r="D708" t="str">
        <f>IF(DATA_INPUT!C131="","",DATA_INPUT!C131)</f>
        <v/>
      </c>
      <c r="E708" s="27" t="str">
        <f>IF(DATA_INPUT!D131="","",DATA_INPUT!D131)</f>
        <v/>
      </c>
      <c r="F708" t="str">
        <f t="shared" ref="F708:F771" si="7">IF(A708="","",TEXT(A708,"mmm yyyy"))</f>
        <v/>
      </c>
      <c r="G708" t="str">
        <f t="shared" ref="G708:G771" si="8">IF(A708="","",WEEKNUM(A708))</f>
        <v/>
      </c>
    </row>
    <row r="709" spans="1:7">
      <c r="A709" s="10" t="str">
        <f>IF(DATA_INPUT!A132="","",DATA_INPUT!A132)</f>
        <v/>
      </c>
      <c r="B709" t="str">
        <f t="shared" si="6"/>
        <v/>
      </c>
      <c r="C709" t="str">
        <f>IF(DATA_INPUT!B132="","",DATA_INPUT!B132)</f>
        <v/>
      </c>
      <c r="D709" t="str">
        <f>IF(DATA_INPUT!C132="","",DATA_INPUT!C132)</f>
        <v/>
      </c>
      <c r="E709" s="27" t="str">
        <f>IF(DATA_INPUT!D132="","",DATA_INPUT!D132)</f>
        <v/>
      </c>
      <c r="F709" t="str">
        <f t="shared" si="7"/>
        <v/>
      </c>
      <c r="G709" t="str">
        <f t="shared" si="8"/>
        <v/>
      </c>
    </row>
    <row r="710" spans="1:7">
      <c r="A710" s="10" t="str">
        <f>IF(DATA_INPUT!A133="","",DATA_INPUT!A133)</f>
        <v/>
      </c>
      <c r="B710" t="str">
        <f t="shared" si="6"/>
        <v/>
      </c>
      <c r="C710" t="str">
        <f>IF(DATA_INPUT!B133="","",DATA_INPUT!B133)</f>
        <v/>
      </c>
      <c r="D710" t="str">
        <f>IF(DATA_INPUT!C133="","",DATA_INPUT!C133)</f>
        <v/>
      </c>
      <c r="E710" s="27" t="str">
        <f>IF(DATA_INPUT!D133="","",DATA_INPUT!D133)</f>
        <v/>
      </c>
      <c r="F710" t="str">
        <f t="shared" si="7"/>
        <v/>
      </c>
      <c r="G710" t="str">
        <f t="shared" si="8"/>
        <v/>
      </c>
    </row>
    <row r="711" spans="1:7">
      <c r="A711" s="10" t="str">
        <f>IF(DATA_INPUT!A134="","",DATA_INPUT!A134)</f>
        <v/>
      </c>
      <c r="B711" t="str">
        <f t="shared" si="6"/>
        <v/>
      </c>
      <c r="C711" t="str">
        <f>IF(DATA_INPUT!B134="","",DATA_INPUT!B134)</f>
        <v/>
      </c>
      <c r="D711" t="str">
        <f>IF(DATA_INPUT!C134="","",DATA_INPUT!C134)</f>
        <v/>
      </c>
      <c r="E711" s="27" t="str">
        <f>IF(DATA_INPUT!D134="","",DATA_INPUT!D134)</f>
        <v/>
      </c>
      <c r="F711" t="str">
        <f t="shared" si="7"/>
        <v/>
      </c>
      <c r="G711" t="str">
        <f t="shared" si="8"/>
        <v/>
      </c>
    </row>
    <row r="712" spans="1:7">
      <c r="A712" s="10" t="str">
        <f>IF(DATA_INPUT!A135="","",DATA_INPUT!A135)</f>
        <v/>
      </c>
      <c r="B712" t="str">
        <f t="shared" si="6"/>
        <v/>
      </c>
      <c r="C712" t="str">
        <f>IF(DATA_INPUT!B135="","",DATA_INPUT!B135)</f>
        <v/>
      </c>
      <c r="D712" t="str">
        <f>IF(DATA_INPUT!C135="","",DATA_INPUT!C135)</f>
        <v/>
      </c>
      <c r="E712" s="27" t="str">
        <f>IF(DATA_INPUT!D135="","",DATA_INPUT!D135)</f>
        <v/>
      </c>
      <c r="F712" t="str">
        <f t="shared" si="7"/>
        <v/>
      </c>
      <c r="G712" t="str">
        <f t="shared" si="8"/>
        <v/>
      </c>
    </row>
    <row r="713" spans="1:7">
      <c r="A713" s="10" t="str">
        <f>IF(DATA_INPUT!A136="","",DATA_INPUT!A136)</f>
        <v/>
      </c>
      <c r="B713" t="str">
        <f t="shared" si="6"/>
        <v/>
      </c>
      <c r="C713" t="str">
        <f>IF(DATA_INPUT!B136="","",DATA_INPUT!B136)</f>
        <v/>
      </c>
      <c r="D713" t="str">
        <f>IF(DATA_INPUT!C136="","",DATA_INPUT!C136)</f>
        <v/>
      </c>
      <c r="E713" s="27" t="str">
        <f>IF(DATA_INPUT!D136="","",DATA_INPUT!D136)</f>
        <v/>
      </c>
      <c r="F713" t="str">
        <f t="shared" si="7"/>
        <v/>
      </c>
      <c r="G713" t="str">
        <f t="shared" si="8"/>
        <v/>
      </c>
    </row>
    <row r="714" spans="1:7">
      <c r="A714" s="10" t="str">
        <f>IF(DATA_INPUT!A137="","",DATA_INPUT!A137)</f>
        <v/>
      </c>
      <c r="B714" t="str">
        <f t="shared" si="6"/>
        <v/>
      </c>
      <c r="C714" t="str">
        <f>IF(DATA_INPUT!B137="","",DATA_INPUT!B137)</f>
        <v/>
      </c>
      <c r="D714" t="str">
        <f>IF(DATA_INPUT!C137="","",DATA_INPUT!C137)</f>
        <v/>
      </c>
      <c r="E714" s="27" t="str">
        <f>IF(DATA_INPUT!D137="","",DATA_INPUT!D137)</f>
        <v/>
      </c>
      <c r="F714" t="str">
        <f t="shared" si="7"/>
        <v/>
      </c>
      <c r="G714" t="str">
        <f t="shared" si="8"/>
        <v/>
      </c>
    </row>
    <row r="715" spans="1:7">
      <c r="A715" s="10" t="str">
        <f>IF(DATA_INPUT!A138="","",DATA_INPUT!A138)</f>
        <v/>
      </c>
      <c r="B715" t="str">
        <f t="shared" si="6"/>
        <v/>
      </c>
      <c r="C715" t="str">
        <f>IF(DATA_INPUT!B138="","",DATA_INPUT!B138)</f>
        <v/>
      </c>
      <c r="D715" t="str">
        <f>IF(DATA_INPUT!C138="","",DATA_INPUT!C138)</f>
        <v/>
      </c>
      <c r="E715" s="27" t="str">
        <f>IF(DATA_INPUT!D138="","",DATA_INPUT!D138)</f>
        <v/>
      </c>
      <c r="F715" t="str">
        <f t="shared" si="7"/>
        <v/>
      </c>
      <c r="G715" t="str">
        <f t="shared" si="8"/>
        <v/>
      </c>
    </row>
    <row r="716" spans="1:7">
      <c r="A716" s="10" t="str">
        <f>IF(DATA_INPUT!A139="","",DATA_INPUT!A139)</f>
        <v/>
      </c>
      <c r="B716" t="str">
        <f t="shared" si="6"/>
        <v/>
      </c>
      <c r="C716" t="str">
        <f>IF(DATA_INPUT!B139="","",DATA_INPUT!B139)</f>
        <v/>
      </c>
      <c r="D716" t="str">
        <f>IF(DATA_INPUT!C139="","",DATA_INPUT!C139)</f>
        <v/>
      </c>
      <c r="E716" s="27" t="str">
        <f>IF(DATA_INPUT!D139="","",DATA_INPUT!D139)</f>
        <v/>
      </c>
      <c r="F716" t="str">
        <f t="shared" si="7"/>
        <v/>
      </c>
      <c r="G716" t="str">
        <f t="shared" si="8"/>
        <v/>
      </c>
    </row>
    <row r="717" spans="1:7">
      <c r="A717" s="10" t="str">
        <f>IF(DATA_INPUT!A140="","",DATA_INPUT!A140)</f>
        <v/>
      </c>
      <c r="B717" t="str">
        <f t="shared" si="6"/>
        <v/>
      </c>
      <c r="C717" t="str">
        <f>IF(DATA_INPUT!B140="","",DATA_INPUT!B140)</f>
        <v/>
      </c>
      <c r="D717" t="str">
        <f>IF(DATA_INPUT!C140="","",DATA_INPUT!C140)</f>
        <v/>
      </c>
      <c r="E717" s="27" t="str">
        <f>IF(DATA_INPUT!D140="","",DATA_INPUT!D140)</f>
        <v/>
      </c>
      <c r="F717" t="str">
        <f t="shared" si="7"/>
        <v/>
      </c>
      <c r="G717" t="str">
        <f t="shared" si="8"/>
        <v/>
      </c>
    </row>
    <row r="718" spans="1:7">
      <c r="A718" s="10" t="str">
        <f>IF(DATA_INPUT!A141="","",DATA_INPUT!A141)</f>
        <v/>
      </c>
      <c r="B718" t="str">
        <f t="shared" si="6"/>
        <v/>
      </c>
      <c r="C718" t="str">
        <f>IF(DATA_INPUT!B141="","",DATA_INPUT!B141)</f>
        <v/>
      </c>
      <c r="D718" t="str">
        <f>IF(DATA_INPUT!C141="","",DATA_INPUT!C141)</f>
        <v/>
      </c>
      <c r="E718" s="27" t="str">
        <f>IF(DATA_INPUT!D141="","",DATA_INPUT!D141)</f>
        <v/>
      </c>
      <c r="F718" t="str">
        <f t="shared" si="7"/>
        <v/>
      </c>
      <c r="G718" t="str">
        <f t="shared" si="8"/>
        <v/>
      </c>
    </row>
    <row r="719" spans="1:7">
      <c r="A719" s="10" t="str">
        <f>IF(DATA_INPUT!A142="","",DATA_INPUT!A142)</f>
        <v/>
      </c>
      <c r="B719" t="str">
        <f t="shared" si="6"/>
        <v/>
      </c>
      <c r="C719" t="str">
        <f>IF(DATA_INPUT!B142="","",DATA_INPUT!B142)</f>
        <v/>
      </c>
      <c r="D719" t="str">
        <f>IF(DATA_INPUT!C142="","",DATA_INPUT!C142)</f>
        <v/>
      </c>
      <c r="E719" s="27" t="str">
        <f>IF(DATA_INPUT!D142="","",DATA_INPUT!D142)</f>
        <v/>
      </c>
      <c r="F719" t="str">
        <f t="shared" si="7"/>
        <v/>
      </c>
      <c r="G719" t="str">
        <f t="shared" si="8"/>
        <v/>
      </c>
    </row>
    <row r="720" spans="1:7">
      <c r="A720" s="10" t="str">
        <f>IF(DATA_INPUT!A143="","",DATA_INPUT!A143)</f>
        <v/>
      </c>
      <c r="B720" t="str">
        <f t="shared" si="6"/>
        <v/>
      </c>
      <c r="C720" t="str">
        <f>IF(DATA_INPUT!B143="","",DATA_INPUT!B143)</f>
        <v/>
      </c>
      <c r="D720" t="str">
        <f>IF(DATA_INPUT!C143="","",DATA_INPUT!C143)</f>
        <v/>
      </c>
      <c r="E720" s="27" t="str">
        <f>IF(DATA_INPUT!D143="","",DATA_INPUT!D143)</f>
        <v/>
      </c>
      <c r="F720" t="str">
        <f t="shared" si="7"/>
        <v/>
      </c>
      <c r="G720" t="str">
        <f t="shared" si="8"/>
        <v/>
      </c>
    </row>
    <row r="721" spans="1:7">
      <c r="A721" s="10" t="str">
        <f>IF(DATA_INPUT!A144="","",DATA_INPUT!A144)</f>
        <v/>
      </c>
      <c r="B721" t="str">
        <f t="shared" si="6"/>
        <v/>
      </c>
      <c r="C721" t="str">
        <f>IF(DATA_INPUT!B144="","",DATA_INPUT!B144)</f>
        <v/>
      </c>
      <c r="D721" t="str">
        <f>IF(DATA_INPUT!C144="","",DATA_INPUT!C144)</f>
        <v/>
      </c>
      <c r="E721" s="27" t="str">
        <f>IF(DATA_INPUT!D144="","",DATA_INPUT!D144)</f>
        <v/>
      </c>
      <c r="F721" t="str">
        <f t="shared" si="7"/>
        <v/>
      </c>
      <c r="G721" t="str">
        <f t="shared" si="8"/>
        <v/>
      </c>
    </row>
    <row r="722" spans="1:7">
      <c r="A722" s="10" t="str">
        <f>IF(DATA_INPUT!A145="","",DATA_INPUT!A145)</f>
        <v/>
      </c>
      <c r="B722" t="str">
        <f t="shared" si="6"/>
        <v/>
      </c>
      <c r="C722" t="str">
        <f>IF(DATA_INPUT!B145="","",DATA_INPUT!B145)</f>
        <v/>
      </c>
      <c r="D722" t="str">
        <f>IF(DATA_INPUT!C145="","",DATA_INPUT!C145)</f>
        <v/>
      </c>
      <c r="E722" s="27" t="str">
        <f>IF(DATA_INPUT!D145="","",DATA_INPUT!D145)</f>
        <v/>
      </c>
      <c r="F722" t="str">
        <f t="shared" si="7"/>
        <v/>
      </c>
      <c r="G722" t="str">
        <f t="shared" si="8"/>
        <v/>
      </c>
    </row>
    <row r="723" spans="1:7">
      <c r="A723" s="10" t="str">
        <f>IF(DATA_INPUT!A146="","",DATA_INPUT!A146)</f>
        <v/>
      </c>
      <c r="B723" t="str">
        <f t="shared" si="6"/>
        <v/>
      </c>
      <c r="C723" t="str">
        <f>IF(DATA_INPUT!B146="","",DATA_INPUT!B146)</f>
        <v/>
      </c>
      <c r="D723" t="str">
        <f>IF(DATA_INPUT!C146="","",DATA_INPUT!C146)</f>
        <v/>
      </c>
      <c r="E723" s="27" t="str">
        <f>IF(DATA_INPUT!D146="","",DATA_INPUT!D146)</f>
        <v/>
      </c>
      <c r="F723" t="str">
        <f t="shared" si="7"/>
        <v/>
      </c>
      <c r="G723" t="str">
        <f t="shared" si="8"/>
        <v/>
      </c>
    </row>
    <row r="724" spans="1:7">
      <c r="A724" s="10" t="str">
        <f>IF(DATA_INPUT!A147="","",DATA_INPUT!A147)</f>
        <v/>
      </c>
      <c r="B724" t="str">
        <f t="shared" si="6"/>
        <v/>
      </c>
      <c r="C724" t="str">
        <f>IF(DATA_INPUT!B147="","",DATA_INPUT!B147)</f>
        <v/>
      </c>
      <c r="D724" t="str">
        <f>IF(DATA_INPUT!C147="","",DATA_INPUT!C147)</f>
        <v/>
      </c>
      <c r="E724" s="27" t="str">
        <f>IF(DATA_INPUT!D147="","",DATA_INPUT!D147)</f>
        <v/>
      </c>
      <c r="F724" t="str">
        <f t="shared" si="7"/>
        <v/>
      </c>
      <c r="G724" t="str">
        <f t="shared" si="8"/>
        <v/>
      </c>
    </row>
    <row r="725" spans="1:7">
      <c r="A725" s="10" t="str">
        <f>IF(DATA_INPUT!A148="","",DATA_INPUT!A148)</f>
        <v/>
      </c>
      <c r="B725" t="str">
        <f t="shared" si="6"/>
        <v/>
      </c>
      <c r="C725" t="str">
        <f>IF(DATA_INPUT!B148="","",DATA_INPUT!B148)</f>
        <v/>
      </c>
      <c r="D725" t="str">
        <f>IF(DATA_INPUT!C148="","",DATA_INPUT!C148)</f>
        <v/>
      </c>
      <c r="E725" s="27" t="str">
        <f>IF(DATA_INPUT!D148="","",DATA_INPUT!D148)</f>
        <v/>
      </c>
      <c r="F725" t="str">
        <f t="shared" si="7"/>
        <v/>
      </c>
      <c r="G725" t="str">
        <f t="shared" si="8"/>
        <v/>
      </c>
    </row>
    <row r="726" spans="1:7">
      <c r="A726" s="10" t="str">
        <f>IF(DATA_INPUT!A149="","",DATA_INPUT!A149)</f>
        <v/>
      </c>
      <c r="B726" t="str">
        <f t="shared" si="6"/>
        <v/>
      </c>
      <c r="C726" t="str">
        <f>IF(DATA_INPUT!B149="","",DATA_INPUT!B149)</f>
        <v/>
      </c>
      <c r="D726" t="str">
        <f>IF(DATA_INPUT!C149="","",DATA_INPUT!C149)</f>
        <v/>
      </c>
      <c r="E726" s="27" t="str">
        <f>IF(DATA_INPUT!D149="","",DATA_INPUT!D149)</f>
        <v/>
      </c>
      <c r="F726" t="str">
        <f t="shared" si="7"/>
        <v/>
      </c>
      <c r="G726" t="str">
        <f t="shared" si="8"/>
        <v/>
      </c>
    </row>
    <row r="727" spans="1:7">
      <c r="A727" s="10" t="str">
        <f>IF(DATA_INPUT!A150="","",DATA_INPUT!A150)</f>
        <v/>
      </c>
      <c r="B727" t="str">
        <f t="shared" si="6"/>
        <v/>
      </c>
      <c r="C727" t="str">
        <f>IF(DATA_INPUT!B150="","",DATA_INPUT!B150)</f>
        <v/>
      </c>
      <c r="D727" t="str">
        <f>IF(DATA_INPUT!C150="","",DATA_INPUT!C150)</f>
        <v/>
      </c>
      <c r="E727" s="27" t="str">
        <f>IF(DATA_INPUT!D150="","",DATA_INPUT!D150)</f>
        <v/>
      </c>
      <c r="F727" t="str">
        <f t="shared" si="7"/>
        <v/>
      </c>
      <c r="G727" t="str">
        <f t="shared" si="8"/>
        <v/>
      </c>
    </row>
    <row r="728" spans="1:7">
      <c r="A728" s="10" t="str">
        <f>IF(DATA_INPUT!A151="","",DATA_INPUT!A151)</f>
        <v/>
      </c>
      <c r="B728" t="str">
        <f t="shared" si="6"/>
        <v/>
      </c>
      <c r="C728" t="str">
        <f>IF(DATA_INPUT!B151="","",DATA_INPUT!B151)</f>
        <v/>
      </c>
      <c r="D728" t="str">
        <f>IF(DATA_INPUT!C151="","",DATA_INPUT!C151)</f>
        <v/>
      </c>
      <c r="E728" s="27" t="str">
        <f>IF(DATA_INPUT!D151="","",DATA_INPUT!D151)</f>
        <v/>
      </c>
      <c r="F728" t="str">
        <f t="shared" si="7"/>
        <v/>
      </c>
      <c r="G728" t="str">
        <f t="shared" si="8"/>
        <v/>
      </c>
    </row>
    <row r="729" spans="1:7">
      <c r="A729" s="10" t="str">
        <f>IF(DATA_INPUT!A152="","",DATA_INPUT!A152)</f>
        <v/>
      </c>
      <c r="B729" t="str">
        <f t="shared" si="6"/>
        <v/>
      </c>
      <c r="C729" t="str">
        <f>IF(DATA_INPUT!B152="","",DATA_INPUT!B152)</f>
        <v/>
      </c>
      <c r="D729" t="str">
        <f>IF(DATA_INPUT!C152="","",DATA_INPUT!C152)</f>
        <v/>
      </c>
      <c r="E729" s="27" t="str">
        <f>IF(DATA_INPUT!D152="","",DATA_INPUT!D152)</f>
        <v/>
      </c>
      <c r="F729" t="str">
        <f t="shared" si="7"/>
        <v/>
      </c>
      <c r="G729" t="str">
        <f t="shared" si="8"/>
        <v/>
      </c>
    </row>
    <row r="730" spans="1:7">
      <c r="A730" s="10" t="str">
        <f>IF(DATA_INPUT!A153="","",DATA_INPUT!A153)</f>
        <v/>
      </c>
      <c r="B730" t="str">
        <f t="shared" si="6"/>
        <v/>
      </c>
      <c r="C730" t="str">
        <f>IF(DATA_INPUT!B153="","",DATA_INPUT!B153)</f>
        <v/>
      </c>
      <c r="D730" t="str">
        <f>IF(DATA_INPUT!C153="","",DATA_INPUT!C153)</f>
        <v/>
      </c>
      <c r="E730" s="27" t="str">
        <f>IF(DATA_INPUT!D153="","",DATA_INPUT!D153)</f>
        <v/>
      </c>
      <c r="F730" t="str">
        <f t="shared" si="7"/>
        <v/>
      </c>
      <c r="G730" t="str">
        <f t="shared" si="8"/>
        <v/>
      </c>
    </row>
    <row r="731" spans="1:7">
      <c r="A731" s="10" t="str">
        <f>IF(DATA_INPUT!A154="","",DATA_INPUT!A154)</f>
        <v/>
      </c>
      <c r="B731" t="str">
        <f t="shared" si="6"/>
        <v/>
      </c>
      <c r="C731" t="str">
        <f>IF(DATA_INPUT!B154="","",DATA_INPUT!B154)</f>
        <v/>
      </c>
      <c r="D731" t="str">
        <f>IF(DATA_INPUT!C154="","",DATA_INPUT!C154)</f>
        <v/>
      </c>
      <c r="E731" s="27" t="str">
        <f>IF(DATA_INPUT!D154="","",DATA_INPUT!D154)</f>
        <v/>
      </c>
      <c r="F731" t="str">
        <f t="shared" si="7"/>
        <v/>
      </c>
      <c r="G731" t="str">
        <f t="shared" si="8"/>
        <v/>
      </c>
    </row>
    <row r="732" spans="1:7">
      <c r="A732" s="10" t="str">
        <f>IF(DATA_INPUT!A155="","",DATA_INPUT!A155)</f>
        <v/>
      </c>
      <c r="B732" t="str">
        <f t="shared" si="6"/>
        <v/>
      </c>
      <c r="C732" t="str">
        <f>IF(DATA_INPUT!B155="","",DATA_INPUT!B155)</f>
        <v/>
      </c>
      <c r="D732" t="str">
        <f>IF(DATA_INPUT!C155="","",DATA_INPUT!C155)</f>
        <v/>
      </c>
      <c r="E732" s="27" t="str">
        <f>IF(DATA_INPUT!D155="","",DATA_INPUT!D155)</f>
        <v/>
      </c>
      <c r="F732" t="str">
        <f t="shared" si="7"/>
        <v/>
      </c>
      <c r="G732" t="str">
        <f t="shared" si="8"/>
        <v/>
      </c>
    </row>
    <row r="733" spans="1:7">
      <c r="A733" s="10" t="str">
        <f>IF(DATA_INPUT!A156="","",DATA_INPUT!A156)</f>
        <v/>
      </c>
      <c r="B733" t="str">
        <f t="shared" si="6"/>
        <v/>
      </c>
      <c r="C733" t="str">
        <f>IF(DATA_INPUT!B156="","",DATA_INPUT!B156)</f>
        <v/>
      </c>
      <c r="D733" t="str">
        <f>IF(DATA_INPUT!C156="","",DATA_INPUT!C156)</f>
        <v/>
      </c>
      <c r="E733" s="27" t="str">
        <f>IF(DATA_INPUT!D156="","",DATA_INPUT!D156)</f>
        <v/>
      </c>
      <c r="F733" t="str">
        <f t="shared" si="7"/>
        <v/>
      </c>
      <c r="G733" t="str">
        <f t="shared" si="8"/>
        <v/>
      </c>
    </row>
    <row r="734" spans="1:7">
      <c r="A734" s="10" t="str">
        <f>IF(DATA_INPUT!A157="","",DATA_INPUT!A157)</f>
        <v/>
      </c>
      <c r="B734" t="str">
        <f t="shared" si="6"/>
        <v/>
      </c>
      <c r="C734" t="str">
        <f>IF(DATA_INPUT!B157="","",DATA_INPUT!B157)</f>
        <v/>
      </c>
      <c r="D734" t="str">
        <f>IF(DATA_INPUT!C157="","",DATA_INPUT!C157)</f>
        <v/>
      </c>
      <c r="E734" s="27" t="str">
        <f>IF(DATA_INPUT!D157="","",DATA_INPUT!D157)</f>
        <v/>
      </c>
      <c r="F734" t="str">
        <f t="shared" si="7"/>
        <v/>
      </c>
      <c r="G734" t="str">
        <f t="shared" si="8"/>
        <v/>
      </c>
    </row>
    <row r="735" spans="1:7">
      <c r="A735" s="10" t="str">
        <f>IF(DATA_INPUT!A158="","",DATA_INPUT!A158)</f>
        <v/>
      </c>
      <c r="B735" t="str">
        <f t="shared" si="6"/>
        <v/>
      </c>
      <c r="C735" t="str">
        <f>IF(DATA_INPUT!B158="","",DATA_INPUT!B158)</f>
        <v/>
      </c>
      <c r="D735" t="str">
        <f>IF(DATA_INPUT!C158="","",DATA_INPUT!C158)</f>
        <v/>
      </c>
      <c r="E735" s="27" t="str">
        <f>IF(DATA_INPUT!D158="","",DATA_INPUT!D158)</f>
        <v/>
      </c>
      <c r="F735" t="str">
        <f t="shared" si="7"/>
        <v/>
      </c>
      <c r="G735" t="str">
        <f t="shared" si="8"/>
        <v/>
      </c>
    </row>
    <row r="736" spans="1:7">
      <c r="A736" s="10" t="str">
        <f>IF(DATA_INPUT!A159="","",DATA_INPUT!A159)</f>
        <v/>
      </c>
      <c r="B736" t="str">
        <f t="shared" si="6"/>
        <v/>
      </c>
      <c r="C736" t="str">
        <f>IF(DATA_INPUT!B159="","",DATA_INPUT!B159)</f>
        <v/>
      </c>
      <c r="D736" t="str">
        <f>IF(DATA_INPUT!C159="","",DATA_INPUT!C159)</f>
        <v/>
      </c>
      <c r="E736" s="27" t="str">
        <f>IF(DATA_INPUT!D159="","",DATA_INPUT!D159)</f>
        <v/>
      </c>
      <c r="F736" t="str">
        <f t="shared" si="7"/>
        <v/>
      </c>
      <c r="G736" t="str">
        <f t="shared" si="8"/>
        <v/>
      </c>
    </row>
    <row r="737" spans="1:7">
      <c r="A737" s="10" t="str">
        <f>IF(DATA_INPUT!A160="","",DATA_INPUT!A160)</f>
        <v/>
      </c>
      <c r="B737" t="str">
        <f t="shared" si="6"/>
        <v/>
      </c>
      <c r="C737" t="str">
        <f>IF(DATA_INPUT!B160="","",DATA_INPUT!B160)</f>
        <v/>
      </c>
      <c r="D737" t="str">
        <f>IF(DATA_INPUT!C160="","",DATA_INPUT!C160)</f>
        <v/>
      </c>
      <c r="E737" s="27" t="str">
        <f>IF(DATA_INPUT!D160="","",DATA_INPUT!D160)</f>
        <v/>
      </c>
      <c r="F737" t="str">
        <f t="shared" si="7"/>
        <v/>
      </c>
      <c r="G737" t="str">
        <f t="shared" si="8"/>
        <v/>
      </c>
    </row>
    <row r="738" spans="1:7">
      <c r="A738" s="10" t="str">
        <f>IF(DATA_INPUT!A161="","",DATA_INPUT!A161)</f>
        <v/>
      </c>
      <c r="B738" t="str">
        <f t="shared" si="6"/>
        <v/>
      </c>
      <c r="C738" t="str">
        <f>IF(DATA_INPUT!B161="","",DATA_INPUT!B161)</f>
        <v/>
      </c>
      <c r="D738" t="str">
        <f>IF(DATA_INPUT!C161="","",DATA_INPUT!C161)</f>
        <v/>
      </c>
      <c r="E738" s="27" t="str">
        <f>IF(DATA_INPUT!D161="","",DATA_INPUT!D161)</f>
        <v/>
      </c>
      <c r="F738" t="str">
        <f t="shared" si="7"/>
        <v/>
      </c>
      <c r="G738" t="str">
        <f t="shared" si="8"/>
        <v/>
      </c>
    </row>
    <row r="739" spans="1:7">
      <c r="A739" s="10" t="str">
        <f>IF(DATA_INPUT!A162="","",DATA_INPUT!A162)</f>
        <v/>
      </c>
      <c r="B739" t="str">
        <f t="shared" si="6"/>
        <v/>
      </c>
      <c r="C739" t="str">
        <f>IF(DATA_INPUT!B162="","",DATA_INPUT!B162)</f>
        <v/>
      </c>
      <c r="D739" t="str">
        <f>IF(DATA_INPUT!C162="","",DATA_INPUT!C162)</f>
        <v/>
      </c>
      <c r="E739" s="27" t="str">
        <f>IF(DATA_INPUT!D162="","",DATA_INPUT!D162)</f>
        <v/>
      </c>
      <c r="F739" t="str">
        <f t="shared" si="7"/>
        <v/>
      </c>
      <c r="G739" t="str">
        <f t="shared" si="8"/>
        <v/>
      </c>
    </row>
    <row r="740" spans="1:7">
      <c r="A740" s="10" t="str">
        <f>IF(DATA_INPUT!A163="","",DATA_INPUT!A163)</f>
        <v/>
      </c>
      <c r="B740" t="str">
        <f t="shared" si="6"/>
        <v/>
      </c>
      <c r="C740" t="str">
        <f>IF(DATA_INPUT!B163="","",DATA_INPUT!B163)</f>
        <v/>
      </c>
      <c r="D740" t="str">
        <f>IF(DATA_INPUT!C163="","",DATA_INPUT!C163)</f>
        <v/>
      </c>
      <c r="E740" s="27" t="str">
        <f>IF(DATA_INPUT!D163="","",DATA_INPUT!D163)</f>
        <v/>
      </c>
      <c r="F740" t="str">
        <f t="shared" si="7"/>
        <v/>
      </c>
      <c r="G740" t="str">
        <f t="shared" si="8"/>
        <v/>
      </c>
    </row>
    <row r="741" spans="1:7">
      <c r="A741" s="10" t="str">
        <f>IF(DATA_INPUT!A164="","",DATA_INPUT!A164)</f>
        <v/>
      </c>
      <c r="B741" t="str">
        <f t="shared" si="6"/>
        <v/>
      </c>
      <c r="C741" t="str">
        <f>IF(DATA_INPUT!B164="","",DATA_INPUT!B164)</f>
        <v/>
      </c>
      <c r="D741" t="str">
        <f>IF(DATA_INPUT!C164="","",DATA_INPUT!C164)</f>
        <v/>
      </c>
      <c r="E741" s="27" t="str">
        <f>IF(DATA_INPUT!D164="","",DATA_INPUT!D164)</f>
        <v/>
      </c>
      <c r="F741" t="str">
        <f t="shared" si="7"/>
        <v/>
      </c>
      <c r="G741" t="str">
        <f t="shared" si="8"/>
        <v/>
      </c>
    </row>
    <row r="742" spans="1:7">
      <c r="A742" s="10" t="str">
        <f>IF(DATA_INPUT!A165="","",DATA_INPUT!A165)</f>
        <v/>
      </c>
      <c r="B742" t="str">
        <f t="shared" si="6"/>
        <v/>
      </c>
      <c r="C742" t="str">
        <f>IF(DATA_INPUT!B165="","",DATA_INPUT!B165)</f>
        <v/>
      </c>
      <c r="D742" t="str">
        <f>IF(DATA_INPUT!C165="","",DATA_INPUT!C165)</f>
        <v/>
      </c>
      <c r="E742" s="27" t="str">
        <f>IF(DATA_INPUT!D165="","",DATA_INPUT!D165)</f>
        <v/>
      </c>
      <c r="F742" t="str">
        <f t="shared" si="7"/>
        <v/>
      </c>
      <c r="G742" t="str">
        <f t="shared" si="8"/>
        <v/>
      </c>
    </row>
    <row r="743" spans="1:7">
      <c r="A743" s="10" t="str">
        <f>IF(DATA_INPUT!A166="","",DATA_INPUT!A166)</f>
        <v/>
      </c>
      <c r="B743" t="str">
        <f t="shared" si="6"/>
        <v/>
      </c>
      <c r="C743" t="str">
        <f>IF(DATA_INPUT!B166="","",DATA_INPUT!B166)</f>
        <v/>
      </c>
      <c r="D743" t="str">
        <f>IF(DATA_INPUT!C166="","",DATA_INPUT!C166)</f>
        <v/>
      </c>
      <c r="E743" s="27" t="str">
        <f>IF(DATA_INPUT!D166="","",DATA_INPUT!D166)</f>
        <v/>
      </c>
      <c r="F743" t="str">
        <f t="shared" si="7"/>
        <v/>
      </c>
      <c r="G743" t="str">
        <f t="shared" si="8"/>
        <v/>
      </c>
    </row>
    <row r="744" spans="1:7">
      <c r="A744" s="10" t="str">
        <f>IF(DATA_INPUT!A167="","",DATA_INPUT!A167)</f>
        <v/>
      </c>
      <c r="B744" t="str">
        <f t="shared" si="6"/>
        <v/>
      </c>
      <c r="C744" t="str">
        <f>IF(DATA_INPUT!B167="","",DATA_INPUT!B167)</f>
        <v/>
      </c>
      <c r="D744" t="str">
        <f>IF(DATA_INPUT!C167="","",DATA_INPUT!C167)</f>
        <v/>
      </c>
      <c r="E744" s="27" t="str">
        <f>IF(DATA_INPUT!D167="","",DATA_INPUT!D167)</f>
        <v/>
      </c>
      <c r="F744" t="str">
        <f t="shared" si="7"/>
        <v/>
      </c>
      <c r="G744" t="str">
        <f t="shared" si="8"/>
        <v/>
      </c>
    </row>
    <row r="745" spans="1:7">
      <c r="A745" s="10" t="str">
        <f>IF(DATA_INPUT!A168="","",DATA_INPUT!A168)</f>
        <v/>
      </c>
      <c r="B745" t="str">
        <f t="shared" si="6"/>
        <v/>
      </c>
      <c r="C745" t="str">
        <f>IF(DATA_INPUT!B168="","",DATA_INPUT!B168)</f>
        <v/>
      </c>
      <c r="D745" t="str">
        <f>IF(DATA_INPUT!C168="","",DATA_INPUT!C168)</f>
        <v/>
      </c>
      <c r="E745" s="27" t="str">
        <f>IF(DATA_INPUT!D168="","",DATA_INPUT!D168)</f>
        <v/>
      </c>
      <c r="F745" t="str">
        <f t="shared" si="7"/>
        <v/>
      </c>
      <c r="G745" t="str">
        <f t="shared" si="8"/>
        <v/>
      </c>
    </row>
    <row r="746" spans="1:7">
      <c r="A746" s="10" t="str">
        <f>IF(DATA_INPUT!A169="","",DATA_INPUT!A169)</f>
        <v/>
      </c>
      <c r="B746" t="str">
        <f t="shared" si="6"/>
        <v/>
      </c>
      <c r="C746" t="str">
        <f>IF(DATA_INPUT!B169="","",DATA_INPUT!B169)</f>
        <v/>
      </c>
      <c r="D746" t="str">
        <f>IF(DATA_INPUT!C169="","",DATA_INPUT!C169)</f>
        <v/>
      </c>
      <c r="E746" s="27" t="str">
        <f>IF(DATA_INPUT!D169="","",DATA_INPUT!D169)</f>
        <v/>
      </c>
      <c r="F746" t="str">
        <f t="shared" si="7"/>
        <v/>
      </c>
      <c r="G746" t="str">
        <f t="shared" si="8"/>
        <v/>
      </c>
    </row>
    <row r="747" spans="1:7">
      <c r="A747" s="10" t="str">
        <f>IF(DATA_INPUT!A170="","",DATA_INPUT!A170)</f>
        <v/>
      </c>
      <c r="B747" t="str">
        <f t="shared" si="6"/>
        <v/>
      </c>
      <c r="C747" t="str">
        <f>IF(DATA_INPUT!B170="","",DATA_INPUT!B170)</f>
        <v/>
      </c>
      <c r="D747" t="str">
        <f>IF(DATA_INPUT!C170="","",DATA_INPUT!C170)</f>
        <v/>
      </c>
      <c r="E747" s="27" t="str">
        <f>IF(DATA_INPUT!D170="","",DATA_INPUT!D170)</f>
        <v/>
      </c>
      <c r="F747" t="str">
        <f t="shared" si="7"/>
        <v/>
      </c>
      <c r="G747" t="str">
        <f t="shared" si="8"/>
        <v/>
      </c>
    </row>
    <row r="748" spans="1:7">
      <c r="A748" s="10" t="str">
        <f>IF(DATA_INPUT!A171="","",DATA_INPUT!A171)</f>
        <v/>
      </c>
      <c r="B748" t="str">
        <f t="shared" si="6"/>
        <v/>
      </c>
      <c r="C748" t="str">
        <f>IF(DATA_INPUT!B171="","",DATA_INPUT!B171)</f>
        <v/>
      </c>
      <c r="D748" t="str">
        <f>IF(DATA_INPUT!C171="","",DATA_INPUT!C171)</f>
        <v/>
      </c>
      <c r="E748" s="27" t="str">
        <f>IF(DATA_INPUT!D171="","",DATA_INPUT!D171)</f>
        <v/>
      </c>
      <c r="F748" t="str">
        <f t="shared" si="7"/>
        <v/>
      </c>
      <c r="G748" t="str">
        <f t="shared" si="8"/>
        <v/>
      </c>
    </row>
    <row r="749" spans="1:7">
      <c r="A749" s="10" t="str">
        <f>IF(DATA_INPUT!A172="","",DATA_INPUT!A172)</f>
        <v/>
      </c>
      <c r="B749" t="str">
        <f t="shared" si="6"/>
        <v/>
      </c>
      <c r="C749" t="str">
        <f>IF(DATA_INPUT!B172="","",DATA_INPUT!B172)</f>
        <v/>
      </c>
      <c r="D749" t="str">
        <f>IF(DATA_INPUT!C172="","",DATA_INPUT!C172)</f>
        <v/>
      </c>
      <c r="E749" s="27" t="str">
        <f>IF(DATA_INPUT!D172="","",DATA_INPUT!D172)</f>
        <v/>
      </c>
      <c r="F749" t="str">
        <f t="shared" si="7"/>
        <v/>
      </c>
      <c r="G749" t="str">
        <f t="shared" si="8"/>
        <v/>
      </c>
    </row>
    <row r="750" spans="1:7">
      <c r="A750" s="10" t="str">
        <f>IF(DATA_INPUT!A173="","",DATA_INPUT!A173)</f>
        <v/>
      </c>
      <c r="B750" t="str">
        <f t="shared" si="6"/>
        <v/>
      </c>
      <c r="C750" t="str">
        <f>IF(DATA_INPUT!B173="","",DATA_INPUT!B173)</f>
        <v/>
      </c>
      <c r="D750" t="str">
        <f>IF(DATA_INPUT!C173="","",DATA_INPUT!C173)</f>
        <v/>
      </c>
      <c r="E750" s="27" t="str">
        <f>IF(DATA_INPUT!D173="","",DATA_INPUT!D173)</f>
        <v/>
      </c>
      <c r="F750" t="str">
        <f t="shared" si="7"/>
        <v/>
      </c>
      <c r="G750" t="str">
        <f t="shared" si="8"/>
        <v/>
      </c>
    </row>
    <row r="751" spans="1:7">
      <c r="A751" s="10" t="str">
        <f>IF(DATA_INPUT!A174="","",DATA_INPUT!A174)</f>
        <v/>
      </c>
      <c r="B751" t="str">
        <f t="shared" si="6"/>
        <v/>
      </c>
      <c r="C751" t="str">
        <f>IF(DATA_INPUT!B174="","",DATA_INPUT!B174)</f>
        <v/>
      </c>
      <c r="D751" t="str">
        <f>IF(DATA_INPUT!C174="","",DATA_INPUT!C174)</f>
        <v/>
      </c>
      <c r="E751" s="27" t="str">
        <f>IF(DATA_INPUT!D174="","",DATA_INPUT!D174)</f>
        <v/>
      </c>
      <c r="F751" t="str">
        <f t="shared" si="7"/>
        <v/>
      </c>
      <c r="G751" t="str">
        <f t="shared" si="8"/>
        <v/>
      </c>
    </row>
    <row r="752" spans="1:7">
      <c r="A752" s="10" t="str">
        <f>IF(DATA_INPUT!A175="","",DATA_INPUT!A175)</f>
        <v/>
      </c>
      <c r="B752" t="str">
        <f t="shared" si="6"/>
        <v/>
      </c>
      <c r="C752" t="str">
        <f>IF(DATA_INPUT!B175="","",DATA_INPUT!B175)</f>
        <v/>
      </c>
      <c r="D752" t="str">
        <f>IF(DATA_INPUT!C175="","",DATA_INPUT!C175)</f>
        <v/>
      </c>
      <c r="E752" s="27" t="str">
        <f>IF(DATA_INPUT!D175="","",DATA_INPUT!D175)</f>
        <v/>
      </c>
      <c r="F752" t="str">
        <f t="shared" si="7"/>
        <v/>
      </c>
      <c r="G752" t="str">
        <f t="shared" si="8"/>
        <v/>
      </c>
    </row>
    <row r="753" spans="1:7">
      <c r="A753" s="10" t="str">
        <f>IF(DATA_INPUT!A176="","",DATA_INPUT!A176)</f>
        <v/>
      </c>
      <c r="B753" t="str">
        <f t="shared" si="6"/>
        <v/>
      </c>
      <c r="C753" t="str">
        <f>IF(DATA_INPUT!B176="","",DATA_INPUT!B176)</f>
        <v/>
      </c>
      <c r="D753" t="str">
        <f>IF(DATA_INPUT!C176="","",DATA_INPUT!C176)</f>
        <v/>
      </c>
      <c r="E753" s="27" t="str">
        <f>IF(DATA_INPUT!D176="","",DATA_INPUT!D176)</f>
        <v/>
      </c>
      <c r="F753" t="str">
        <f t="shared" si="7"/>
        <v/>
      </c>
      <c r="G753" t="str">
        <f t="shared" si="8"/>
        <v/>
      </c>
    </row>
    <row r="754" spans="1:7">
      <c r="A754" s="10" t="str">
        <f>IF(DATA_INPUT!A177="","",DATA_INPUT!A177)</f>
        <v/>
      </c>
      <c r="B754" t="str">
        <f t="shared" si="6"/>
        <v/>
      </c>
      <c r="C754" t="str">
        <f>IF(DATA_INPUT!B177="","",DATA_INPUT!B177)</f>
        <v/>
      </c>
      <c r="D754" t="str">
        <f>IF(DATA_INPUT!C177="","",DATA_INPUT!C177)</f>
        <v/>
      </c>
      <c r="E754" s="27" t="str">
        <f>IF(DATA_INPUT!D177="","",DATA_INPUT!D177)</f>
        <v/>
      </c>
      <c r="F754" t="str">
        <f t="shared" si="7"/>
        <v/>
      </c>
      <c r="G754" t="str">
        <f t="shared" si="8"/>
        <v/>
      </c>
    </row>
    <row r="755" spans="1:7">
      <c r="A755" s="10" t="str">
        <f>IF(DATA_INPUT!A178="","",DATA_INPUT!A178)</f>
        <v/>
      </c>
      <c r="B755" t="str">
        <f t="shared" si="6"/>
        <v/>
      </c>
      <c r="C755" t="str">
        <f>IF(DATA_INPUT!B178="","",DATA_INPUT!B178)</f>
        <v/>
      </c>
      <c r="D755" t="str">
        <f>IF(DATA_INPUT!C178="","",DATA_INPUT!C178)</f>
        <v/>
      </c>
      <c r="E755" s="27" t="str">
        <f>IF(DATA_INPUT!D178="","",DATA_INPUT!D178)</f>
        <v/>
      </c>
      <c r="F755" t="str">
        <f t="shared" si="7"/>
        <v/>
      </c>
      <c r="G755" t="str">
        <f t="shared" si="8"/>
        <v/>
      </c>
    </row>
    <row r="756" spans="1:7">
      <c r="A756" s="10" t="str">
        <f>IF(DATA_INPUT!A179="","",DATA_INPUT!A179)</f>
        <v/>
      </c>
      <c r="B756" t="str">
        <f t="shared" si="6"/>
        <v/>
      </c>
      <c r="C756" t="str">
        <f>IF(DATA_INPUT!B179="","",DATA_INPUT!B179)</f>
        <v/>
      </c>
      <c r="D756" t="str">
        <f>IF(DATA_INPUT!C179="","",DATA_INPUT!C179)</f>
        <v/>
      </c>
      <c r="E756" s="27" t="str">
        <f>IF(DATA_INPUT!D179="","",DATA_INPUT!D179)</f>
        <v/>
      </c>
      <c r="F756" t="str">
        <f t="shared" si="7"/>
        <v/>
      </c>
      <c r="G756" t="str">
        <f t="shared" si="8"/>
        <v/>
      </c>
    </row>
    <row r="757" spans="1:7">
      <c r="A757" s="10" t="str">
        <f>IF(DATA_INPUT!A180="","",DATA_INPUT!A180)</f>
        <v/>
      </c>
      <c r="B757" t="str">
        <f t="shared" si="6"/>
        <v/>
      </c>
      <c r="C757" t="str">
        <f>IF(DATA_INPUT!B180="","",DATA_INPUT!B180)</f>
        <v/>
      </c>
      <c r="D757" t="str">
        <f>IF(DATA_INPUT!C180="","",DATA_INPUT!C180)</f>
        <v/>
      </c>
      <c r="E757" s="27" t="str">
        <f>IF(DATA_INPUT!D180="","",DATA_INPUT!D180)</f>
        <v/>
      </c>
      <c r="F757" t="str">
        <f t="shared" si="7"/>
        <v/>
      </c>
      <c r="G757" t="str">
        <f t="shared" si="8"/>
        <v/>
      </c>
    </row>
    <row r="758" spans="1:7">
      <c r="A758" s="10" t="str">
        <f>IF(DATA_INPUT!A181="","",DATA_INPUT!A181)</f>
        <v/>
      </c>
      <c r="B758" t="str">
        <f t="shared" si="6"/>
        <v/>
      </c>
      <c r="C758" t="str">
        <f>IF(DATA_INPUT!B181="","",DATA_INPUT!B181)</f>
        <v/>
      </c>
      <c r="D758" t="str">
        <f>IF(DATA_INPUT!C181="","",DATA_INPUT!C181)</f>
        <v/>
      </c>
      <c r="E758" s="27" t="str">
        <f>IF(DATA_INPUT!D181="","",DATA_INPUT!D181)</f>
        <v/>
      </c>
      <c r="F758" t="str">
        <f t="shared" si="7"/>
        <v/>
      </c>
      <c r="G758" t="str">
        <f t="shared" si="8"/>
        <v/>
      </c>
    </row>
    <row r="759" spans="1:7">
      <c r="A759" s="10" t="str">
        <f>IF(DATA_INPUT!A182="","",DATA_INPUT!A182)</f>
        <v/>
      </c>
      <c r="B759" t="str">
        <f t="shared" si="6"/>
        <v/>
      </c>
      <c r="C759" t="str">
        <f>IF(DATA_INPUT!B182="","",DATA_INPUT!B182)</f>
        <v/>
      </c>
      <c r="D759" t="str">
        <f>IF(DATA_INPUT!C182="","",DATA_INPUT!C182)</f>
        <v/>
      </c>
      <c r="E759" s="27" t="str">
        <f>IF(DATA_INPUT!D182="","",DATA_INPUT!D182)</f>
        <v/>
      </c>
      <c r="F759" t="str">
        <f t="shared" si="7"/>
        <v/>
      </c>
      <c r="G759" t="str">
        <f t="shared" si="8"/>
        <v/>
      </c>
    </row>
    <row r="760" spans="1:7">
      <c r="A760" s="10" t="str">
        <f>IF(DATA_INPUT!A183="","",DATA_INPUT!A183)</f>
        <v/>
      </c>
      <c r="B760" t="str">
        <f t="shared" si="6"/>
        <v/>
      </c>
      <c r="C760" t="str">
        <f>IF(DATA_INPUT!B183="","",DATA_INPUT!B183)</f>
        <v/>
      </c>
      <c r="D760" t="str">
        <f>IF(DATA_INPUT!C183="","",DATA_INPUT!C183)</f>
        <v/>
      </c>
      <c r="E760" s="27" t="str">
        <f>IF(DATA_INPUT!D183="","",DATA_INPUT!D183)</f>
        <v/>
      </c>
      <c r="F760" t="str">
        <f t="shared" si="7"/>
        <v/>
      </c>
      <c r="G760" t="str">
        <f t="shared" si="8"/>
        <v/>
      </c>
    </row>
    <row r="761" spans="1:7">
      <c r="A761" s="10" t="str">
        <f>IF(DATA_INPUT!A184="","",DATA_INPUT!A184)</f>
        <v/>
      </c>
      <c r="B761" t="str">
        <f t="shared" si="6"/>
        <v/>
      </c>
      <c r="C761" t="str">
        <f>IF(DATA_INPUT!B184="","",DATA_INPUT!B184)</f>
        <v/>
      </c>
      <c r="D761" t="str">
        <f>IF(DATA_INPUT!C184="","",DATA_INPUT!C184)</f>
        <v/>
      </c>
      <c r="E761" s="27" t="str">
        <f>IF(DATA_INPUT!D184="","",DATA_INPUT!D184)</f>
        <v/>
      </c>
      <c r="F761" t="str">
        <f t="shared" si="7"/>
        <v/>
      </c>
      <c r="G761" t="str">
        <f t="shared" si="8"/>
        <v/>
      </c>
    </row>
    <row r="762" spans="1:7">
      <c r="A762" s="10" t="str">
        <f>IF(DATA_INPUT!A185="","",DATA_INPUT!A185)</f>
        <v/>
      </c>
      <c r="B762" t="str">
        <f t="shared" si="6"/>
        <v/>
      </c>
      <c r="C762" t="str">
        <f>IF(DATA_INPUT!B185="","",DATA_INPUT!B185)</f>
        <v/>
      </c>
      <c r="D762" t="str">
        <f>IF(DATA_INPUT!C185="","",DATA_INPUT!C185)</f>
        <v/>
      </c>
      <c r="E762" s="27" t="str">
        <f>IF(DATA_INPUT!D185="","",DATA_INPUT!D185)</f>
        <v/>
      </c>
      <c r="F762" t="str">
        <f t="shared" si="7"/>
        <v/>
      </c>
      <c r="G762" t="str">
        <f t="shared" si="8"/>
        <v/>
      </c>
    </row>
    <row r="763" spans="1:7">
      <c r="A763" s="10" t="str">
        <f>IF(DATA_INPUT!A186="","",DATA_INPUT!A186)</f>
        <v/>
      </c>
      <c r="B763" t="str">
        <f t="shared" si="6"/>
        <v/>
      </c>
      <c r="C763" t="str">
        <f>IF(DATA_INPUT!B186="","",DATA_INPUT!B186)</f>
        <v/>
      </c>
      <c r="D763" t="str">
        <f>IF(DATA_INPUT!C186="","",DATA_INPUT!C186)</f>
        <v/>
      </c>
      <c r="E763" s="27" t="str">
        <f>IF(DATA_INPUT!D186="","",DATA_INPUT!D186)</f>
        <v/>
      </c>
      <c r="F763" t="str">
        <f t="shared" si="7"/>
        <v/>
      </c>
      <c r="G763" t="str">
        <f t="shared" si="8"/>
        <v/>
      </c>
    </row>
    <row r="764" spans="1:7">
      <c r="A764" s="10" t="str">
        <f>IF(DATA_INPUT!A187="","",DATA_INPUT!A187)</f>
        <v/>
      </c>
      <c r="B764" t="str">
        <f t="shared" si="6"/>
        <v/>
      </c>
      <c r="C764" t="str">
        <f>IF(DATA_INPUT!B187="","",DATA_INPUT!B187)</f>
        <v/>
      </c>
      <c r="D764" t="str">
        <f>IF(DATA_INPUT!C187="","",DATA_INPUT!C187)</f>
        <v/>
      </c>
      <c r="E764" s="27" t="str">
        <f>IF(DATA_INPUT!D187="","",DATA_INPUT!D187)</f>
        <v/>
      </c>
      <c r="F764" t="str">
        <f t="shared" si="7"/>
        <v/>
      </c>
      <c r="G764" t="str">
        <f t="shared" si="8"/>
        <v/>
      </c>
    </row>
    <row r="765" spans="1:7">
      <c r="A765" s="10" t="str">
        <f>IF(DATA_INPUT!A188="","",DATA_INPUT!A188)</f>
        <v/>
      </c>
      <c r="B765" t="str">
        <f t="shared" si="6"/>
        <v/>
      </c>
      <c r="C765" t="str">
        <f>IF(DATA_INPUT!B188="","",DATA_INPUT!B188)</f>
        <v/>
      </c>
      <c r="D765" t="str">
        <f>IF(DATA_INPUT!C188="","",DATA_INPUT!C188)</f>
        <v/>
      </c>
      <c r="E765" s="27" t="str">
        <f>IF(DATA_INPUT!D188="","",DATA_INPUT!D188)</f>
        <v/>
      </c>
      <c r="F765" t="str">
        <f t="shared" si="7"/>
        <v/>
      </c>
      <c r="G765" t="str">
        <f t="shared" si="8"/>
        <v/>
      </c>
    </row>
    <row r="766" spans="1:7">
      <c r="A766" s="10" t="str">
        <f>IF(DATA_INPUT!A189="","",DATA_INPUT!A189)</f>
        <v/>
      </c>
      <c r="B766" t="str">
        <f t="shared" si="6"/>
        <v/>
      </c>
      <c r="C766" t="str">
        <f>IF(DATA_INPUT!B189="","",DATA_INPUT!B189)</f>
        <v/>
      </c>
      <c r="D766" t="str">
        <f>IF(DATA_INPUT!C189="","",DATA_INPUT!C189)</f>
        <v/>
      </c>
      <c r="E766" s="27" t="str">
        <f>IF(DATA_INPUT!D189="","",DATA_INPUT!D189)</f>
        <v/>
      </c>
      <c r="F766" t="str">
        <f t="shared" si="7"/>
        <v/>
      </c>
      <c r="G766" t="str">
        <f t="shared" si="8"/>
        <v/>
      </c>
    </row>
    <row r="767" spans="1:7">
      <c r="A767" s="10" t="str">
        <f>IF(DATA_INPUT!A190="","",DATA_INPUT!A190)</f>
        <v/>
      </c>
      <c r="B767" t="str">
        <f t="shared" si="6"/>
        <v/>
      </c>
      <c r="C767" t="str">
        <f>IF(DATA_INPUT!B190="","",DATA_INPUT!B190)</f>
        <v/>
      </c>
      <c r="D767" t="str">
        <f>IF(DATA_INPUT!C190="","",DATA_INPUT!C190)</f>
        <v/>
      </c>
      <c r="E767" s="27" t="str">
        <f>IF(DATA_INPUT!D190="","",DATA_INPUT!D190)</f>
        <v/>
      </c>
      <c r="F767" t="str">
        <f t="shared" si="7"/>
        <v/>
      </c>
      <c r="G767" t="str">
        <f t="shared" si="8"/>
        <v/>
      </c>
    </row>
    <row r="768" spans="1:7">
      <c r="A768" s="10" t="str">
        <f>IF(DATA_INPUT!A191="","",DATA_INPUT!A191)</f>
        <v/>
      </c>
      <c r="B768" t="str">
        <f t="shared" si="6"/>
        <v/>
      </c>
      <c r="C768" t="str">
        <f>IF(DATA_INPUT!B191="","",DATA_INPUT!B191)</f>
        <v/>
      </c>
      <c r="D768" t="str">
        <f>IF(DATA_INPUT!C191="","",DATA_INPUT!C191)</f>
        <v/>
      </c>
      <c r="E768" s="27" t="str">
        <f>IF(DATA_INPUT!D191="","",DATA_INPUT!D191)</f>
        <v/>
      </c>
      <c r="F768" t="str">
        <f t="shared" si="7"/>
        <v/>
      </c>
      <c r="G768" t="str">
        <f t="shared" si="8"/>
        <v/>
      </c>
    </row>
    <row r="769" spans="1:7">
      <c r="A769" s="10" t="str">
        <f>IF(DATA_INPUT!A192="","",DATA_INPUT!A192)</f>
        <v/>
      </c>
      <c r="B769" t="str">
        <f t="shared" si="6"/>
        <v/>
      </c>
      <c r="C769" t="str">
        <f>IF(DATA_INPUT!B192="","",DATA_INPUT!B192)</f>
        <v/>
      </c>
      <c r="D769" t="str">
        <f>IF(DATA_INPUT!C192="","",DATA_INPUT!C192)</f>
        <v/>
      </c>
      <c r="E769" s="27" t="str">
        <f>IF(DATA_INPUT!D192="","",DATA_INPUT!D192)</f>
        <v/>
      </c>
      <c r="F769" t="str">
        <f t="shared" si="7"/>
        <v/>
      </c>
      <c r="G769" t="str">
        <f t="shared" si="8"/>
        <v/>
      </c>
    </row>
    <row r="770" spans="1:7">
      <c r="A770" s="10" t="str">
        <f>IF(DATA_INPUT!A193="","",DATA_INPUT!A193)</f>
        <v/>
      </c>
      <c r="B770" t="str">
        <f t="shared" si="6"/>
        <v/>
      </c>
      <c r="C770" t="str">
        <f>IF(DATA_INPUT!B193="","",DATA_INPUT!B193)</f>
        <v/>
      </c>
      <c r="D770" t="str">
        <f>IF(DATA_INPUT!C193="","",DATA_INPUT!C193)</f>
        <v/>
      </c>
      <c r="E770" s="27" t="str">
        <f>IF(DATA_INPUT!D193="","",DATA_INPUT!D193)</f>
        <v/>
      </c>
      <c r="F770" t="str">
        <f t="shared" si="7"/>
        <v/>
      </c>
      <c r="G770" t="str">
        <f t="shared" si="8"/>
        <v/>
      </c>
    </row>
    <row r="771" spans="1:7">
      <c r="A771" s="10" t="str">
        <f>IF(DATA_INPUT!A194="","",DATA_INPUT!A194)</f>
        <v/>
      </c>
      <c r="B771" t="str">
        <f t="shared" si="6"/>
        <v/>
      </c>
      <c r="C771" t="str">
        <f>IF(DATA_INPUT!B194="","",DATA_INPUT!B194)</f>
        <v/>
      </c>
      <c r="D771" t="str">
        <f>IF(DATA_INPUT!C194="","",DATA_INPUT!C194)</f>
        <v/>
      </c>
      <c r="E771" s="27" t="str">
        <f>IF(DATA_INPUT!D194="","",DATA_INPUT!D194)</f>
        <v/>
      </c>
      <c r="F771" t="str">
        <f t="shared" si="7"/>
        <v/>
      </c>
      <c r="G771" t="str">
        <f t="shared" si="8"/>
        <v/>
      </c>
    </row>
    <row r="772" spans="1:7">
      <c r="A772" s="10" t="str">
        <f>IF(DATA_INPUT!A195="","",DATA_INPUT!A195)</f>
        <v/>
      </c>
      <c r="B772" t="str">
        <f t="shared" ref="B772:B835" si="9">IF(A772="","",TEXT(A772,"dddd"))</f>
        <v/>
      </c>
      <c r="C772" t="str">
        <f>IF(DATA_INPUT!B195="","",DATA_INPUT!B195)</f>
        <v/>
      </c>
      <c r="D772" t="str">
        <f>IF(DATA_INPUT!C195="","",DATA_INPUT!C195)</f>
        <v/>
      </c>
      <c r="E772" s="27" t="str">
        <f>IF(DATA_INPUT!D195="","",DATA_INPUT!D195)</f>
        <v/>
      </c>
      <c r="F772" t="str">
        <f t="shared" ref="F772:F835" si="10">IF(A772="","",TEXT(A772,"mmm yyyy"))</f>
        <v/>
      </c>
      <c r="G772" t="str">
        <f t="shared" ref="G772:G835" si="11">IF(A772="","",WEEKNUM(A772))</f>
        <v/>
      </c>
    </row>
    <row r="773" spans="1:7">
      <c r="A773" s="10" t="str">
        <f>IF(DATA_INPUT!A196="","",DATA_INPUT!A196)</f>
        <v/>
      </c>
      <c r="B773" t="str">
        <f t="shared" si="9"/>
        <v/>
      </c>
      <c r="C773" t="str">
        <f>IF(DATA_INPUT!B196="","",DATA_INPUT!B196)</f>
        <v/>
      </c>
      <c r="D773" t="str">
        <f>IF(DATA_INPUT!C196="","",DATA_INPUT!C196)</f>
        <v/>
      </c>
      <c r="E773" s="27" t="str">
        <f>IF(DATA_INPUT!D196="","",DATA_INPUT!D196)</f>
        <v/>
      </c>
      <c r="F773" t="str">
        <f t="shared" si="10"/>
        <v/>
      </c>
      <c r="G773" t="str">
        <f t="shared" si="11"/>
        <v/>
      </c>
    </row>
    <row r="774" spans="1:7">
      <c r="A774" s="10" t="str">
        <f>IF(DATA_INPUT!A197="","",DATA_INPUT!A197)</f>
        <v/>
      </c>
      <c r="B774" t="str">
        <f t="shared" si="9"/>
        <v/>
      </c>
      <c r="C774" t="str">
        <f>IF(DATA_INPUT!B197="","",DATA_INPUT!B197)</f>
        <v/>
      </c>
      <c r="D774" t="str">
        <f>IF(DATA_INPUT!C197="","",DATA_INPUT!C197)</f>
        <v/>
      </c>
      <c r="E774" s="27" t="str">
        <f>IF(DATA_INPUT!D197="","",DATA_INPUT!D197)</f>
        <v/>
      </c>
      <c r="F774" t="str">
        <f t="shared" si="10"/>
        <v/>
      </c>
      <c r="G774" t="str">
        <f t="shared" si="11"/>
        <v/>
      </c>
    </row>
    <row r="775" spans="1:7">
      <c r="A775" s="10" t="str">
        <f>IF(DATA_INPUT!A198="","",DATA_INPUT!A198)</f>
        <v/>
      </c>
      <c r="B775" t="str">
        <f t="shared" si="9"/>
        <v/>
      </c>
      <c r="C775" t="str">
        <f>IF(DATA_INPUT!B198="","",DATA_INPUT!B198)</f>
        <v/>
      </c>
      <c r="D775" t="str">
        <f>IF(DATA_INPUT!C198="","",DATA_INPUT!C198)</f>
        <v/>
      </c>
      <c r="E775" s="27" t="str">
        <f>IF(DATA_INPUT!D198="","",DATA_INPUT!D198)</f>
        <v/>
      </c>
      <c r="F775" t="str">
        <f t="shared" si="10"/>
        <v/>
      </c>
      <c r="G775" t="str">
        <f t="shared" si="11"/>
        <v/>
      </c>
    </row>
    <row r="776" spans="1:7">
      <c r="A776" s="10" t="str">
        <f>IF(DATA_INPUT!A199="","",DATA_INPUT!A199)</f>
        <v/>
      </c>
      <c r="B776" t="str">
        <f t="shared" si="9"/>
        <v/>
      </c>
      <c r="C776" t="str">
        <f>IF(DATA_INPUT!B199="","",DATA_INPUT!B199)</f>
        <v/>
      </c>
      <c r="D776" t="str">
        <f>IF(DATA_INPUT!C199="","",DATA_INPUT!C199)</f>
        <v/>
      </c>
      <c r="E776" s="27" t="str">
        <f>IF(DATA_INPUT!D199="","",DATA_INPUT!D199)</f>
        <v/>
      </c>
      <c r="F776" t="str">
        <f t="shared" si="10"/>
        <v/>
      </c>
      <c r="G776" t="str">
        <f t="shared" si="11"/>
        <v/>
      </c>
    </row>
    <row r="777" spans="1:7">
      <c r="A777" s="10" t="str">
        <f>IF(DATA_INPUT!A200="","",DATA_INPUT!A200)</f>
        <v/>
      </c>
      <c r="B777" t="str">
        <f t="shared" si="9"/>
        <v/>
      </c>
      <c r="C777" t="str">
        <f>IF(DATA_INPUT!B200="","",DATA_INPUT!B200)</f>
        <v/>
      </c>
      <c r="D777" t="str">
        <f>IF(DATA_INPUT!C200="","",DATA_INPUT!C200)</f>
        <v/>
      </c>
      <c r="E777" s="27" t="str">
        <f>IF(DATA_INPUT!D200="","",DATA_INPUT!D200)</f>
        <v/>
      </c>
      <c r="F777" t="str">
        <f t="shared" si="10"/>
        <v/>
      </c>
      <c r="G777" t="str">
        <f t="shared" si="11"/>
        <v/>
      </c>
    </row>
    <row r="778" spans="1:7">
      <c r="A778" s="10" t="str">
        <f>IF(DATA_INPUT!A201="","",DATA_INPUT!A201)</f>
        <v/>
      </c>
      <c r="B778" t="str">
        <f t="shared" si="9"/>
        <v/>
      </c>
      <c r="C778" t="str">
        <f>IF(DATA_INPUT!B201="","",DATA_INPUT!B201)</f>
        <v/>
      </c>
      <c r="D778" t="str">
        <f>IF(DATA_INPUT!C201="","",DATA_INPUT!C201)</f>
        <v/>
      </c>
      <c r="E778" s="27" t="str">
        <f>IF(DATA_INPUT!D201="","",DATA_INPUT!D201)</f>
        <v/>
      </c>
      <c r="F778" t="str">
        <f t="shared" si="10"/>
        <v/>
      </c>
      <c r="G778" t="str">
        <f t="shared" si="11"/>
        <v/>
      </c>
    </row>
    <row r="779" spans="1:7">
      <c r="A779" s="10" t="str">
        <f>IF(DATA_INPUT!A202="","",DATA_INPUT!A202)</f>
        <v/>
      </c>
      <c r="B779" t="str">
        <f t="shared" si="9"/>
        <v/>
      </c>
      <c r="C779" t="str">
        <f>IF(DATA_INPUT!B202="","",DATA_INPUT!B202)</f>
        <v/>
      </c>
      <c r="D779" t="str">
        <f>IF(DATA_INPUT!C202="","",DATA_INPUT!C202)</f>
        <v/>
      </c>
      <c r="E779" s="27" t="str">
        <f>IF(DATA_INPUT!D202="","",DATA_INPUT!D202)</f>
        <v/>
      </c>
      <c r="F779" t="str">
        <f t="shared" si="10"/>
        <v/>
      </c>
      <c r="G779" t="str">
        <f t="shared" si="11"/>
        <v/>
      </c>
    </row>
    <row r="780" spans="1:7">
      <c r="A780" s="10" t="str">
        <f>IF(DATA_INPUT!A203="","",DATA_INPUT!A203)</f>
        <v/>
      </c>
      <c r="B780" t="str">
        <f t="shared" si="9"/>
        <v/>
      </c>
      <c r="C780" t="str">
        <f>IF(DATA_INPUT!B203="","",DATA_INPUT!B203)</f>
        <v/>
      </c>
      <c r="D780" t="str">
        <f>IF(DATA_INPUT!C203="","",DATA_INPUT!C203)</f>
        <v/>
      </c>
      <c r="E780" s="27" t="str">
        <f>IF(DATA_INPUT!D203="","",DATA_INPUT!D203)</f>
        <v/>
      </c>
      <c r="F780" t="str">
        <f t="shared" si="10"/>
        <v/>
      </c>
      <c r="G780" t="str">
        <f t="shared" si="11"/>
        <v/>
      </c>
    </row>
    <row r="781" spans="1:7">
      <c r="A781" s="10" t="str">
        <f>IF(DATA_INPUT!A204="","",DATA_INPUT!A204)</f>
        <v/>
      </c>
      <c r="B781" t="str">
        <f t="shared" si="9"/>
        <v/>
      </c>
      <c r="C781" t="str">
        <f>IF(DATA_INPUT!B204="","",DATA_INPUT!B204)</f>
        <v/>
      </c>
      <c r="D781" t="str">
        <f>IF(DATA_INPUT!C204="","",DATA_INPUT!C204)</f>
        <v/>
      </c>
      <c r="E781" s="27" t="str">
        <f>IF(DATA_INPUT!D204="","",DATA_INPUT!D204)</f>
        <v/>
      </c>
      <c r="F781" t="str">
        <f t="shared" si="10"/>
        <v/>
      </c>
      <c r="G781" t="str">
        <f t="shared" si="11"/>
        <v/>
      </c>
    </row>
    <row r="782" spans="1:7">
      <c r="A782" s="10" t="str">
        <f>IF(DATA_INPUT!A205="","",DATA_INPUT!A205)</f>
        <v/>
      </c>
      <c r="B782" t="str">
        <f t="shared" si="9"/>
        <v/>
      </c>
      <c r="C782" t="str">
        <f>IF(DATA_INPUT!B205="","",DATA_INPUT!B205)</f>
        <v/>
      </c>
      <c r="D782" t="str">
        <f>IF(DATA_INPUT!C205="","",DATA_INPUT!C205)</f>
        <v/>
      </c>
      <c r="E782" s="27" t="str">
        <f>IF(DATA_INPUT!D205="","",DATA_INPUT!D205)</f>
        <v/>
      </c>
      <c r="F782" t="str">
        <f t="shared" si="10"/>
        <v/>
      </c>
      <c r="G782" t="str">
        <f t="shared" si="11"/>
        <v/>
      </c>
    </row>
    <row r="783" spans="1:7">
      <c r="A783" s="10" t="str">
        <f>IF(DATA_INPUT!A206="","",DATA_INPUT!A206)</f>
        <v/>
      </c>
      <c r="B783" t="str">
        <f t="shared" si="9"/>
        <v/>
      </c>
      <c r="C783" t="str">
        <f>IF(DATA_INPUT!B206="","",DATA_INPUT!B206)</f>
        <v/>
      </c>
      <c r="D783" t="str">
        <f>IF(DATA_INPUT!C206="","",DATA_INPUT!C206)</f>
        <v/>
      </c>
      <c r="E783" s="27" t="str">
        <f>IF(DATA_INPUT!D206="","",DATA_INPUT!D206)</f>
        <v/>
      </c>
      <c r="F783" t="str">
        <f t="shared" si="10"/>
        <v/>
      </c>
      <c r="G783" t="str">
        <f t="shared" si="11"/>
        <v/>
      </c>
    </row>
    <row r="784" spans="1:7">
      <c r="A784" s="10" t="str">
        <f>IF(DATA_INPUT!A207="","",DATA_INPUT!A207)</f>
        <v/>
      </c>
      <c r="B784" t="str">
        <f t="shared" si="9"/>
        <v/>
      </c>
      <c r="C784" t="str">
        <f>IF(DATA_INPUT!B207="","",DATA_INPUT!B207)</f>
        <v/>
      </c>
      <c r="D784" t="str">
        <f>IF(DATA_INPUT!C207="","",DATA_INPUT!C207)</f>
        <v/>
      </c>
      <c r="E784" s="27" t="str">
        <f>IF(DATA_INPUT!D207="","",DATA_INPUT!D207)</f>
        <v/>
      </c>
      <c r="F784" t="str">
        <f t="shared" si="10"/>
        <v/>
      </c>
      <c r="G784" t="str">
        <f t="shared" si="11"/>
        <v/>
      </c>
    </row>
    <row r="785" spans="1:7">
      <c r="A785" s="10" t="str">
        <f>IF(DATA_INPUT!A208="","",DATA_INPUT!A208)</f>
        <v/>
      </c>
      <c r="B785" t="str">
        <f t="shared" si="9"/>
        <v/>
      </c>
      <c r="C785" t="str">
        <f>IF(DATA_INPUT!B208="","",DATA_INPUT!B208)</f>
        <v/>
      </c>
      <c r="D785" t="str">
        <f>IF(DATA_INPUT!C208="","",DATA_INPUT!C208)</f>
        <v/>
      </c>
      <c r="E785" s="27" t="str">
        <f>IF(DATA_INPUT!D208="","",DATA_INPUT!D208)</f>
        <v/>
      </c>
      <c r="F785" t="str">
        <f t="shared" si="10"/>
        <v/>
      </c>
      <c r="G785" t="str">
        <f t="shared" si="11"/>
        <v/>
      </c>
    </row>
    <row r="786" spans="1:7">
      <c r="A786" s="10" t="str">
        <f>IF(DATA_INPUT!A209="","",DATA_INPUT!A209)</f>
        <v/>
      </c>
      <c r="B786" t="str">
        <f t="shared" si="9"/>
        <v/>
      </c>
      <c r="C786" t="str">
        <f>IF(DATA_INPUT!B209="","",DATA_INPUT!B209)</f>
        <v/>
      </c>
      <c r="D786" t="str">
        <f>IF(DATA_INPUT!C209="","",DATA_INPUT!C209)</f>
        <v/>
      </c>
      <c r="E786" s="27" t="str">
        <f>IF(DATA_INPUT!D209="","",DATA_INPUT!D209)</f>
        <v/>
      </c>
      <c r="F786" t="str">
        <f t="shared" si="10"/>
        <v/>
      </c>
      <c r="G786" t="str">
        <f t="shared" si="11"/>
        <v/>
      </c>
    </row>
    <row r="787" spans="1:7">
      <c r="A787" s="10" t="str">
        <f>IF(DATA_INPUT!A210="","",DATA_INPUT!A210)</f>
        <v/>
      </c>
      <c r="B787" t="str">
        <f t="shared" si="9"/>
        <v/>
      </c>
      <c r="C787" t="str">
        <f>IF(DATA_INPUT!B210="","",DATA_INPUT!B210)</f>
        <v/>
      </c>
      <c r="D787" t="str">
        <f>IF(DATA_INPUT!C210="","",DATA_INPUT!C210)</f>
        <v/>
      </c>
      <c r="E787" s="27" t="str">
        <f>IF(DATA_INPUT!D210="","",DATA_INPUT!D210)</f>
        <v/>
      </c>
      <c r="F787" t="str">
        <f t="shared" si="10"/>
        <v/>
      </c>
      <c r="G787" t="str">
        <f t="shared" si="11"/>
        <v/>
      </c>
    </row>
    <row r="788" spans="1:7">
      <c r="A788" s="10" t="str">
        <f>IF(DATA_INPUT!A211="","",DATA_INPUT!A211)</f>
        <v/>
      </c>
      <c r="B788" t="str">
        <f t="shared" si="9"/>
        <v/>
      </c>
      <c r="C788" t="str">
        <f>IF(DATA_INPUT!B211="","",DATA_INPUT!B211)</f>
        <v/>
      </c>
      <c r="D788" t="str">
        <f>IF(DATA_INPUT!C211="","",DATA_INPUT!C211)</f>
        <v/>
      </c>
      <c r="E788" s="27" t="str">
        <f>IF(DATA_INPUT!D211="","",DATA_INPUT!D211)</f>
        <v/>
      </c>
      <c r="F788" t="str">
        <f t="shared" si="10"/>
        <v/>
      </c>
      <c r="G788" t="str">
        <f t="shared" si="11"/>
        <v/>
      </c>
    </row>
    <row r="789" spans="1:7">
      <c r="A789" s="10" t="str">
        <f>IF(DATA_INPUT!A212="","",DATA_INPUT!A212)</f>
        <v/>
      </c>
      <c r="B789" t="str">
        <f t="shared" si="9"/>
        <v/>
      </c>
      <c r="C789" t="str">
        <f>IF(DATA_INPUT!B212="","",DATA_INPUT!B212)</f>
        <v/>
      </c>
      <c r="D789" t="str">
        <f>IF(DATA_INPUT!C212="","",DATA_INPUT!C212)</f>
        <v/>
      </c>
      <c r="E789" s="27" t="str">
        <f>IF(DATA_INPUT!D212="","",DATA_INPUT!D212)</f>
        <v/>
      </c>
      <c r="F789" t="str">
        <f t="shared" si="10"/>
        <v/>
      </c>
      <c r="G789" t="str">
        <f t="shared" si="11"/>
        <v/>
      </c>
    </row>
    <row r="790" spans="1:7">
      <c r="A790" s="10" t="str">
        <f>IF(DATA_INPUT!A213="","",DATA_INPUT!A213)</f>
        <v/>
      </c>
      <c r="B790" t="str">
        <f t="shared" si="9"/>
        <v/>
      </c>
      <c r="C790" t="str">
        <f>IF(DATA_INPUT!B213="","",DATA_INPUT!B213)</f>
        <v/>
      </c>
      <c r="D790" t="str">
        <f>IF(DATA_INPUT!C213="","",DATA_INPUT!C213)</f>
        <v/>
      </c>
      <c r="E790" s="27" t="str">
        <f>IF(DATA_INPUT!D213="","",DATA_INPUT!D213)</f>
        <v/>
      </c>
      <c r="F790" t="str">
        <f t="shared" si="10"/>
        <v/>
      </c>
      <c r="G790" t="str">
        <f t="shared" si="11"/>
        <v/>
      </c>
    </row>
    <row r="791" spans="1:7">
      <c r="A791" s="10" t="str">
        <f>IF(DATA_INPUT!A214="","",DATA_INPUT!A214)</f>
        <v/>
      </c>
      <c r="B791" t="str">
        <f t="shared" si="9"/>
        <v/>
      </c>
      <c r="C791" t="str">
        <f>IF(DATA_INPUT!B214="","",DATA_INPUT!B214)</f>
        <v/>
      </c>
      <c r="D791" t="str">
        <f>IF(DATA_INPUT!C214="","",DATA_INPUT!C214)</f>
        <v/>
      </c>
      <c r="E791" s="27" t="str">
        <f>IF(DATA_INPUT!D214="","",DATA_INPUT!D214)</f>
        <v/>
      </c>
      <c r="F791" t="str">
        <f t="shared" si="10"/>
        <v/>
      </c>
      <c r="G791" t="str">
        <f t="shared" si="11"/>
        <v/>
      </c>
    </row>
    <row r="792" spans="1:7">
      <c r="A792" s="10" t="str">
        <f>IF(DATA_INPUT!A215="","",DATA_INPUT!A215)</f>
        <v/>
      </c>
      <c r="B792" t="str">
        <f t="shared" si="9"/>
        <v/>
      </c>
      <c r="C792" t="str">
        <f>IF(DATA_INPUT!B215="","",DATA_INPUT!B215)</f>
        <v/>
      </c>
      <c r="D792" t="str">
        <f>IF(DATA_INPUT!C215="","",DATA_INPUT!C215)</f>
        <v/>
      </c>
      <c r="E792" s="27" t="str">
        <f>IF(DATA_INPUT!D215="","",DATA_INPUT!D215)</f>
        <v/>
      </c>
      <c r="F792" t="str">
        <f t="shared" si="10"/>
        <v/>
      </c>
      <c r="G792" t="str">
        <f t="shared" si="11"/>
        <v/>
      </c>
    </row>
    <row r="793" spans="1:7">
      <c r="A793" s="10" t="str">
        <f>IF(DATA_INPUT!A216="","",DATA_INPUT!A216)</f>
        <v/>
      </c>
      <c r="B793" t="str">
        <f t="shared" si="9"/>
        <v/>
      </c>
      <c r="C793" t="str">
        <f>IF(DATA_INPUT!B216="","",DATA_INPUT!B216)</f>
        <v/>
      </c>
      <c r="D793" t="str">
        <f>IF(DATA_INPUT!C216="","",DATA_INPUT!C216)</f>
        <v/>
      </c>
      <c r="E793" s="27" t="str">
        <f>IF(DATA_INPUT!D216="","",DATA_INPUT!D216)</f>
        <v/>
      </c>
      <c r="F793" t="str">
        <f t="shared" si="10"/>
        <v/>
      </c>
      <c r="G793" t="str">
        <f t="shared" si="11"/>
        <v/>
      </c>
    </row>
    <row r="794" spans="1:7">
      <c r="A794" s="10" t="str">
        <f>IF(DATA_INPUT!A217="","",DATA_INPUT!A217)</f>
        <v/>
      </c>
      <c r="B794" t="str">
        <f t="shared" si="9"/>
        <v/>
      </c>
      <c r="C794" t="str">
        <f>IF(DATA_INPUT!B217="","",DATA_INPUT!B217)</f>
        <v/>
      </c>
      <c r="D794" t="str">
        <f>IF(DATA_INPUT!C217="","",DATA_INPUT!C217)</f>
        <v/>
      </c>
      <c r="E794" s="27" t="str">
        <f>IF(DATA_INPUT!D217="","",DATA_INPUT!D217)</f>
        <v/>
      </c>
      <c r="F794" t="str">
        <f t="shared" si="10"/>
        <v/>
      </c>
      <c r="G794" t="str">
        <f t="shared" si="11"/>
        <v/>
      </c>
    </row>
    <row r="795" spans="1:7">
      <c r="A795" s="10" t="str">
        <f>IF(DATA_INPUT!A218="","",DATA_INPUT!A218)</f>
        <v/>
      </c>
      <c r="B795" t="str">
        <f t="shared" si="9"/>
        <v/>
      </c>
      <c r="C795" t="str">
        <f>IF(DATA_INPUT!B218="","",DATA_INPUT!B218)</f>
        <v/>
      </c>
      <c r="D795" t="str">
        <f>IF(DATA_INPUT!C218="","",DATA_INPUT!C218)</f>
        <v/>
      </c>
      <c r="E795" s="27" t="str">
        <f>IF(DATA_INPUT!D218="","",DATA_INPUT!D218)</f>
        <v/>
      </c>
      <c r="F795" t="str">
        <f t="shared" si="10"/>
        <v/>
      </c>
      <c r="G795" t="str">
        <f t="shared" si="11"/>
        <v/>
      </c>
    </row>
    <row r="796" spans="1:7">
      <c r="A796" s="10" t="str">
        <f>IF(DATA_INPUT!A219="","",DATA_INPUT!A219)</f>
        <v/>
      </c>
      <c r="B796" t="str">
        <f t="shared" si="9"/>
        <v/>
      </c>
      <c r="C796" t="str">
        <f>IF(DATA_INPUT!B219="","",DATA_INPUT!B219)</f>
        <v/>
      </c>
      <c r="D796" t="str">
        <f>IF(DATA_INPUT!C219="","",DATA_INPUT!C219)</f>
        <v/>
      </c>
      <c r="E796" s="27" t="str">
        <f>IF(DATA_INPUT!D219="","",DATA_INPUT!D219)</f>
        <v/>
      </c>
      <c r="F796" t="str">
        <f t="shared" si="10"/>
        <v/>
      </c>
      <c r="G796" t="str">
        <f t="shared" si="11"/>
        <v/>
      </c>
    </row>
    <row r="797" spans="1:7">
      <c r="A797" s="10" t="str">
        <f>IF(DATA_INPUT!A220="","",DATA_INPUT!A220)</f>
        <v/>
      </c>
      <c r="B797" t="str">
        <f t="shared" si="9"/>
        <v/>
      </c>
      <c r="C797" t="str">
        <f>IF(DATA_INPUT!B220="","",DATA_INPUT!B220)</f>
        <v/>
      </c>
      <c r="D797" t="str">
        <f>IF(DATA_INPUT!C220="","",DATA_INPUT!C220)</f>
        <v/>
      </c>
      <c r="E797" s="27" t="str">
        <f>IF(DATA_INPUT!D220="","",DATA_INPUT!D220)</f>
        <v/>
      </c>
      <c r="F797" t="str">
        <f t="shared" si="10"/>
        <v/>
      </c>
      <c r="G797" t="str">
        <f t="shared" si="11"/>
        <v/>
      </c>
    </row>
    <row r="798" spans="1:7">
      <c r="A798" s="10" t="str">
        <f>IF(DATA_INPUT!A221="","",DATA_INPUT!A221)</f>
        <v/>
      </c>
      <c r="B798" t="str">
        <f t="shared" si="9"/>
        <v/>
      </c>
      <c r="C798" t="str">
        <f>IF(DATA_INPUT!B221="","",DATA_INPUT!B221)</f>
        <v/>
      </c>
      <c r="D798" t="str">
        <f>IF(DATA_INPUT!C221="","",DATA_INPUT!C221)</f>
        <v/>
      </c>
      <c r="E798" s="27" t="str">
        <f>IF(DATA_INPUT!D221="","",DATA_INPUT!D221)</f>
        <v/>
      </c>
      <c r="F798" t="str">
        <f t="shared" si="10"/>
        <v/>
      </c>
      <c r="G798" t="str">
        <f t="shared" si="11"/>
        <v/>
      </c>
    </row>
    <row r="799" spans="1:7">
      <c r="A799" s="10" t="str">
        <f>IF(DATA_INPUT!A222="","",DATA_INPUT!A222)</f>
        <v/>
      </c>
      <c r="B799" t="str">
        <f t="shared" si="9"/>
        <v/>
      </c>
      <c r="C799" t="str">
        <f>IF(DATA_INPUT!B222="","",DATA_INPUT!B222)</f>
        <v/>
      </c>
      <c r="D799" t="str">
        <f>IF(DATA_INPUT!C222="","",DATA_INPUT!C222)</f>
        <v/>
      </c>
      <c r="E799" s="27" t="str">
        <f>IF(DATA_INPUT!D222="","",DATA_INPUT!D222)</f>
        <v/>
      </c>
      <c r="F799" t="str">
        <f t="shared" si="10"/>
        <v/>
      </c>
      <c r="G799" t="str">
        <f t="shared" si="11"/>
        <v/>
      </c>
    </row>
    <row r="800" spans="1:7">
      <c r="A800" s="10" t="str">
        <f>IF(DATA_INPUT!A223="","",DATA_INPUT!A223)</f>
        <v/>
      </c>
      <c r="B800" t="str">
        <f t="shared" si="9"/>
        <v/>
      </c>
      <c r="C800" t="str">
        <f>IF(DATA_INPUT!B223="","",DATA_INPUT!B223)</f>
        <v/>
      </c>
      <c r="D800" t="str">
        <f>IF(DATA_INPUT!C223="","",DATA_INPUT!C223)</f>
        <v/>
      </c>
      <c r="E800" s="27" t="str">
        <f>IF(DATA_INPUT!D223="","",DATA_INPUT!D223)</f>
        <v/>
      </c>
      <c r="F800" t="str">
        <f t="shared" si="10"/>
        <v/>
      </c>
      <c r="G800" t="str">
        <f t="shared" si="11"/>
        <v/>
      </c>
    </row>
    <row r="801" spans="1:7">
      <c r="A801" s="10" t="str">
        <f>IF(DATA_INPUT!A224="","",DATA_INPUT!A224)</f>
        <v/>
      </c>
      <c r="B801" t="str">
        <f t="shared" si="9"/>
        <v/>
      </c>
      <c r="C801" t="str">
        <f>IF(DATA_INPUT!B224="","",DATA_INPUT!B224)</f>
        <v/>
      </c>
      <c r="D801" t="str">
        <f>IF(DATA_INPUT!C224="","",DATA_INPUT!C224)</f>
        <v/>
      </c>
      <c r="E801" s="27" t="str">
        <f>IF(DATA_INPUT!D224="","",DATA_INPUT!D224)</f>
        <v/>
      </c>
      <c r="F801" t="str">
        <f t="shared" si="10"/>
        <v/>
      </c>
      <c r="G801" t="str">
        <f t="shared" si="11"/>
        <v/>
      </c>
    </row>
    <row r="802" spans="1:7">
      <c r="A802" s="10" t="str">
        <f>IF(DATA_INPUT!A225="","",DATA_INPUT!A225)</f>
        <v/>
      </c>
      <c r="B802" t="str">
        <f t="shared" si="9"/>
        <v/>
      </c>
      <c r="C802" t="str">
        <f>IF(DATA_INPUT!B225="","",DATA_INPUT!B225)</f>
        <v/>
      </c>
      <c r="D802" t="str">
        <f>IF(DATA_INPUT!C225="","",DATA_INPUT!C225)</f>
        <v/>
      </c>
      <c r="E802" s="27" t="str">
        <f>IF(DATA_INPUT!D225="","",DATA_INPUT!D225)</f>
        <v/>
      </c>
      <c r="F802" t="str">
        <f t="shared" si="10"/>
        <v/>
      </c>
      <c r="G802" t="str">
        <f t="shared" si="11"/>
        <v/>
      </c>
    </row>
    <row r="803" spans="1:7">
      <c r="A803" s="10" t="str">
        <f>IF(DATA_INPUT!A226="","",DATA_INPUT!A226)</f>
        <v/>
      </c>
      <c r="B803" t="str">
        <f t="shared" si="9"/>
        <v/>
      </c>
      <c r="C803" t="str">
        <f>IF(DATA_INPUT!B226="","",DATA_INPUT!B226)</f>
        <v/>
      </c>
      <c r="D803" t="str">
        <f>IF(DATA_INPUT!C226="","",DATA_INPUT!C226)</f>
        <v/>
      </c>
      <c r="E803" s="27" t="str">
        <f>IF(DATA_INPUT!D226="","",DATA_INPUT!D226)</f>
        <v/>
      </c>
      <c r="F803" t="str">
        <f t="shared" si="10"/>
        <v/>
      </c>
      <c r="G803" t="str">
        <f t="shared" si="11"/>
        <v/>
      </c>
    </row>
    <row r="804" spans="1:7">
      <c r="A804" s="10" t="str">
        <f>IF(DATA_INPUT!A227="","",DATA_INPUT!A227)</f>
        <v/>
      </c>
      <c r="B804" t="str">
        <f t="shared" si="9"/>
        <v/>
      </c>
      <c r="C804" t="str">
        <f>IF(DATA_INPUT!B227="","",DATA_INPUT!B227)</f>
        <v/>
      </c>
      <c r="D804" t="str">
        <f>IF(DATA_INPUT!C227="","",DATA_INPUT!C227)</f>
        <v/>
      </c>
      <c r="E804" s="27" t="str">
        <f>IF(DATA_INPUT!D227="","",DATA_INPUT!D227)</f>
        <v/>
      </c>
      <c r="F804" t="str">
        <f t="shared" si="10"/>
        <v/>
      </c>
      <c r="G804" t="str">
        <f t="shared" si="11"/>
        <v/>
      </c>
    </row>
    <row r="805" spans="1:7">
      <c r="A805" s="10" t="str">
        <f>IF(DATA_INPUT!A228="","",DATA_INPUT!A228)</f>
        <v/>
      </c>
      <c r="B805" t="str">
        <f t="shared" si="9"/>
        <v/>
      </c>
      <c r="C805" t="str">
        <f>IF(DATA_INPUT!B228="","",DATA_INPUT!B228)</f>
        <v/>
      </c>
      <c r="D805" t="str">
        <f>IF(DATA_INPUT!C228="","",DATA_INPUT!C228)</f>
        <v/>
      </c>
      <c r="E805" s="27" t="str">
        <f>IF(DATA_INPUT!D228="","",DATA_INPUT!D228)</f>
        <v/>
      </c>
      <c r="F805" t="str">
        <f t="shared" si="10"/>
        <v/>
      </c>
      <c r="G805" t="str">
        <f t="shared" si="11"/>
        <v/>
      </c>
    </row>
    <row r="806" spans="1:7">
      <c r="A806" s="10" t="str">
        <f>IF(DATA_INPUT!A229="","",DATA_INPUT!A229)</f>
        <v/>
      </c>
      <c r="B806" t="str">
        <f t="shared" si="9"/>
        <v/>
      </c>
      <c r="C806" t="str">
        <f>IF(DATA_INPUT!B229="","",DATA_INPUT!B229)</f>
        <v/>
      </c>
      <c r="D806" t="str">
        <f>IF(DATA_INPUT!C229="","",DATA_INPUT!C229)</f>
        <v/>
      </c>
      <c r="E806" s="27" t="str">
        <f>IF(DATA_INPUT!D229="","",DATA_INPUT!D229)</f>
        <v/>
      </c>
      <c r="F806" t="str">
        <f t="shared" si="10"/>
        <v/>
      </c>
      <c r="G806" t="str">
        <f t="shared" si="11"/>
        <v/>
      </c>
    </row>
    <row r="807" spans="1:7">
      <c r="A807" s="10" t="str">
        <f>IF(DATA_INPUT!A230="","",DATA_INPUT!A230)</f>
        <v/>
      </c>
      <c r="B807" t="str">
        <f t="shared" si="9"/>
        <v/>
      </c>
      <c r="C807" t="str">
        <f>IF(DATA_INPUT!B230="","",DATA_INPUT!B230)</f>
        <v/>
      </c>
      <c r="D807" t="str">
        <f>IF(DATA_INPUT!C230="","",DATA_INPUT!C230)</f>
        <v/>
      </c>
      <c r="E807" s="27" t="str">
        <f>IF(DATA_INPUT!D230="","",DATA_INPUT!D230)</f>
        <v/>
      </c>
      <c r="F807" t="str">
        <f t="shared" si="10"/>
        <v/>
      </c>
      <c r="G807" t="str">
        <f t="shared" si="11"/>
        <v/>
      </c>
    </row>
    <row r="808" spans="1:7">
      <c r="A808" s="10" t="str">
        <f>IF(DATA_INPUT!A231="","",DATA_INPUT!A231)</f>
        <v/>
      </c>
      <c r="B808" t="str">
        <f t="shared" si="9"/>
        <v/>
      </c>
      <c r="C808" t="str">
        <f>IF(DATA_INPUT!B231="","",DATA_INPUT!B231)</f>
        <v/>
      </c>
      <c r="D808" t="str">
        <f>IF(DATA_INPUT!C231="","",DATA_INPUT!C231)</f>
        <v/>
      </c>
      <c r="E808" s="27" t="str">
        <f>IF(DATA_INPUT!D231="","",DATA_INPUT!D231)</f>
        <v/>
      </c>
      <c r="F808" t="str">
        <f t="shared" si="10"/>
        <v/>
      </c>
      <c r="G808" t="str">
        <f t="shared" si="11"/>
        <v/>
      </c>
    </row>
    <row r="809" spans="1:7">
      <c r="A809" s="10" t="str">
        <f>IF(DATA_INPUT!A232="","",DATA_INPUT!A232)</f>
        <v/>
      </c>
      <c r="B809" t="str">
        <f t="shared" si="9"/>
        <v/>
      </c>
      <c r="C809" t="str">
        <f>IF(DATA_INPUT!B232="","",DATA_INPUT!B232)</f>
        <v/>
      </c>
      <c r="D809" t="str">
        <f>IF(DATA_INPUT!C232="","",DATA_INPUT!C232)</f>
        <v/>
      </c>
      <c r="E809" s="27" t="str">
        <f>IF(DATA_INPUT!D232="","",DATA_INPUT!D232)</f>
        <v/>
      </c>
      <c r="F809" t="str">
        <f t="shared" si="10"/>
        <v/>
      </c>
      <c r="G809" t="str">
        <f t="shared" si="11"/>
        <v/>
      </c>
    </row>
    <row r="810" spans="1:7">
      <c r="A810" s="10" t="str">
        <f>IF(DATA_INPUT!A233="","",DATA_INPUT!A233)</f>
        <v/>
      </c>
      <c r="B810" t="str">
        <f t="shared" si="9"/>
        <v/>
      </c>
      <c r="C810" t="str">
        <f>IF(DATA_INPUT!B233="","",DATA_INPUT!B233)</f>
        <v/>
      </c>
      <c r="D810" t="str">
        <f>IF(DATA_INPUT!C233="","",DATA_INPUT!C233)</f>
        <v/>
      </c>
      <c r="E810" s="27" t="str">
        <f>IF(DATA_INPUT!D233="","",DATA_INPUT!D233)</f>
        <v/>
      </c>
      <c r="F810" t="str">
        <f t="shared" si="10"/>
        <v/>
      </c>
      <c r="G810" t="str">
        <f t="shared" si="11"/>
        <v/>
      </c>
    </row>
    <row r="811" spans="1:7">
      <c r="A811" s="10" t="str">
        <f>IF(DATA_INPUT!A234="","",DATA_INPUT!A234)</f>
        <v/>
      </c>
      <c r="B811" t="str">
        <f t="shared" si="9"/>
        <v/>
      </c>
      <c r="C811" t="str">
        <f>IF(DATA_INPUT!B234="","",DATA_INPUT!B234)</f>
        <v/>
      </c>
      <c r="D811" t="str">
        <f>IF(DATA_INPUT!C234="","",DATA_INPUT!C234)</f>
        <v/>
      </c>
      <c r="E811" s="27" t="str">
        <f>IF(DATA_INPUT!D234="","",DATA_INPUT!D234)</f>
        <v/>
      </c>
      <c r="F811" t="str">
        <f t="shared" si="10"/>
        <v/>
      </c>
      <c r="G811" t="str">
        <f t="shared" si="11"/>
        <v/>
      </c>
    </row>
    <row r="812" spans="1:7">
      <c r="A812" s="10" t="str">
        <f>IF(DATA_INPUT!A235="","",DATA_INPUT!A235)</f>
        <v/>
      </c>
      <c r="B812" t="str">
        <f t="shared" si="9"/>
        <v/>
      </c>
      <c r="C812" t="str">
        <f>IF(DATA_INPUT!B235="","",DATA_INPUT!B235)</f>
        <v/>
      </c>
      <c r="D812" t="str">
        <f>IF(DATA_INPUT!C235="","",DATA_INPUT!C235)</f>
        <v/>
      </c>
      <c r="E812" s="27" t="str">
        <f>IF(DATA_INPUT!D235="","",DATA_INPUT!D235)</f>
        <v/>
      </c>
      <c r="F812" t="str">
        <f t="shared" si="10"/>
        <v/>
      </c>
      <c r="G812" t="str">
        <f t="shared" si="11"/>
        <v/>
      </c>
    </row>
    <row r="813" spans="1:7">
      <c r="A813" s="10" t="str">
        <f>IF(DATA_INPUT!A236="","",DATA_INPUT!A236)</f>
        <v/>
      </c>
      <c r="B813" t="str">
        <f t="shared" si="9"/>
        <v/>
      </c>
      <c r="C813" t="str">
        <f>IF(DATA_INPUT!B236="","",DATA_INPUT!B236)</f>
        <v/>
      </c>
      <c r="D813" t="str">
        <f>IF(DATA_INPUT!C236="","",DATA_INPUT!C236)</f>
        <v/>
      </c>
      <c r="E813" s="27" t="str">
        <f>IF(DATA_INPUT!D236="","",DATA_INPUT!D236)</f>
        <v/>
      </c>
      <c r="F813" t="str">
        <f t="shared" si="10"/>
        <v/>
      </c>
      <c r="G813" t="str">
        <f t="shared" si="11"/>
        <v/>
      </c>
    </row>
    <row r="814" spans="1:7">
      <c r="A814" s="10" t="str">
        <f>IF(DATA_INPUT!A237="","",DATA_INPUT!A237)</f>
        <v/>
      </c>
      <c r="B814" t="str">
        <f t="shared" si="9"/>
        <v/>
      </c>
      <c r="C814" t="str">
        <f>IF(DATA_INPUT!B237="","",DATA_INPUT!B237)</f>
        <v/>
      </c>
      <c r="D814" t="str">
        <f>IF(DATA_INPUT!C237="","",DATA_INPUT!C237)</f>
        <v/>
      </c>
      <c r="E814" s="27" t="str">
        <f>IF(DATA_INPUT!D237="","",DATA_INPUT!D237)</f>
        <v/>
      </c>
      <c r="F814" t="str">
        <f t="shared" si="10"/>
        <v/>
      </c>
      <c r="G814" t="str">
        <f t="shared" si="11"/>
        <v/>
      </c>
    </row>
    <row r="815" spans="1:7">
      <c r="A815" s="10" t="str">
        <f>IF(DATA_INPUT!A238="","",DATA_INPUT!A238)</f>
        <v/>
      </c>
      <c r="B815" t="str">
        <f t="shared" si="9"/>
        <v/>
      </c>
      <c r="C815" t="str">
        <f>IF(DATA_INPUT!B238="","",DATA_INPUT!B238)</f>
        <v/>
      </c>
      <c r="D815" t="str">
        <f>IF(DATA_INPUT!C238="","",DATA_INPUT!C238)</f>
        <v/>
      </c>
      <c r="E815" s="27" t="str">
        <f>IF(DATA_INPUT!D238="","",DATA_INPUT!D238)</f>
        <v/>
      </c>
      <c r="F815" t="str">
        <f t="shared" si="10"/>
        <v/>
      </c>
      <c r="G815" t="str">
        <f t="shared" si="11"/>
        <v/>
      </c>
    </row>
    <row r="816" spans="1:7">
      <c r="A816" s="10" t="str">
        <f>IF(DATA_INPUT!A239="","",DATA_INPUT!A239)</f>
        <v/>
      </c>
      <c r="B816" t="str">
        <f t="shared" si="9"/>
        <v/>
      </c>
      <c r="C816" t="str">
        <f>IF(DATA_INPUT!B239="","",DATA_INPUT!B239)</f>
        <v/>
      </c>
      <c r="D816" t="str">
        <f>IF(DATA_INPUT!C239="","",DATA_INPUT!C239)</f>
        <v/>
      </c>
      <c r="E816" s="27" t="str">
        <f>IF(DATA_INPUT!D239="","",DATA_INPUT!D239)</f>
        <v/>
      </c>
      <c r="F816" t="str">
        <f t="shared" si="10"/>
        <v/>
      </c>
      <c r="G816" t="str">
        <f t="shared" si="11"/>
        <v/>
      </c>
    </row>
    <row r="817" spans="1:7">
      <c r="A817" s="10" t="str">
        <f>IF(DATA_INPUT!A240="","",DATA_INPUT!A240)</f>
        <v/>
      </c>
      <c r="B817" t="str">
        <f t="shared" si="9"/>
        <v/>
      </c>
      <c r="C817" t="str">
        <f>IF(DATA_INPUT!B240="","",DATA_INPUT!B240)</f>
        <v/>
      </c>
      <c r="D817" t="str">
        <f>IF(DATA_INPUT!C240="","",DATA_INPUT!C240)</f>
        <v/>
      </c>
      <c r="E817" s="27" t="str">
        <f>IF(DATA_INPUT!D240="","",DATA_INPUT!D240)</f>
        <v/>
      </c>
      <c r="F817" t="str">
        <f t="shared" si="10"/>
        <v/>
      </c>
      <c r="G817" t="str">
        <f t="shared" si="11"/>
        <v/>
      </c>
    </row>
    <row r="818" spans="1:7">
      <c r="A818" s="10" t="str">
        <f>IF(DATA_INPUT!A241="","",DATA_INPUT!A241)</f>
        <v/>
      </c>
      <c r="B818" t="str">
        <f t="shared" si="9"/>
        <v/>
      </c>
      <c r="C818" t="str">
        <f>IF(DATA_INPUT!B241="","",DATA_INPUT!B241)</f>
        <v/>
      </c>
      <c r="D818" t="str">
        <f>IF(DATA_INPUT!C241="","",DATA_INPUT!C241)</f>
        <v/>
      </c>
      <c r="E818" s="27" t="str">
        <f>IF(DATA_INPUT!D241="","",DATA_INPUT!D241)</f>
        <v/>
      </c>
      <c r="F818" t="str">
        <f t="shared" si="10"/>
        <v/>
      </c>
      <c r="G818" t="str">
        <f t="shared" si="11"/>
        <v/>
      </c>
    </row>
    <row r="819" spans="1:7">
      <c r="A819" s="10" t="str">
        <f>IF(DATA_INPUT!A242="","",DATA_INPUT!A242)</f>
        <v/>
      </c>
      <c r="B819" t="str">
        <f t="shared" si="9"/>
        <v/>
      </c>
      <c r="C819" t="str">
        <f>IF(DATA_INPUT!B242="","",DATA_INPUT!B242)</f>
        <v/>
      </c>
      <c r="D819" t="str">
        <f>IF(DATA_INPUT!C242="","",DATA_INPUT!C242)</f>
        <v/>
      </c>
      <c r="E819" s="27" t="str">
        <f>IF(DATA_INPUT!D242="","",DATA_INPUT!D242)</f>
        <v/>
      </c>
      <c r="F819" t="str">
        <f t="shared" si="10"/>
        <v/>
      </c>
      <c r="G819" t="str">
        <f t="shared" si="11"/>
        <v/>
      </c>
    </row>
    <row r="820" spans="1:7">
      <c r="A820" s="10" t="str">
        <f>IF(DATA_INPUT!A243="","",DATA_INPUT!A243)</f>
        <v/>
      </c>
      <c r="B820" t="str">
        <f t="shared" si="9"/>
        <v/>
      </c>
      <c r="C820" t="str">
        <f>IF(DATA_INPUT!B243="","",DATA_INPUT!B243)</f>
        <v/>
      </c>
      <c r="D820" t="str">
        <f>IF(DATA_INPUT!C243="","",DATA_INPUT!C243)</f>
        <v/>
      </c>
      <c r="E820" s="27" t="str">
        <f>IF(DATA_INPUT!D243="","",DATA_INPUT!D243)</f>
        <v/>
      </c>
      <c r="F820" t="str">
        <f t="shared" si="10"/>
        <v/>
      </c>
      <c r="G820" t="str">
        <f t="shared" si="11"/>
        <v/>
      </c>
    </row>
    <row r="821" spans="1:7">
      <c r="A821" s="10" t="str">
        <f>IF(DATA_INPUT!A244="","",DATA_INPUT!A244)</f>
        <v/>
      </c>
      <c r="B821" t="str">
        <f t="shared" si="9"/>
        <v/>
      </c>
      <c r="C821" t="str">
        <f>IF(DATA_INPUT!B244="","",DATA_INPUT!B244)</f>
        <v/>
      </c>
      <c r="D821" t="str">
        <f>IF(DATA_INPUT!C244="","",DATA_INPUT!C244)</f>
        <v/>
      </c>
      <c r="E821" s="27" t="str">
        <f>IF(DATA_INPUT!D244="","",DATA_INPUT!D244)</f>
        <v/>
      </c>
      <c r="F821" t="str">
        <f t="shared" si="10"/>
        <v/>
      </c>
      <c r="G821" t="str">
        <f t="shared" si="11"/>
        <v/>
      </c>
    </row>
    <row r="822" spans="1:7">
      <c r="A822" s="10" t="str">
        <f>IF(DATA_INPUT!A245="","",DATA_INPUT!A245)</f>
        <v/>
      </c>
      <c r="B822" t="str">
        <f t="shared" si="9"/>
        <v/>
      </c>
      <c r="C822" t="str">
        <f>IF(DATA_INPUT!B245="","",DATA_INPUT!B245)</f>
        <v/>
      </c>
      <c r="D822" t="str">
        <f>IF(DATA_INPUT!C245="","",DATA_INPUT!C245)</f>
        <v/>
      </c>
      <c r="E822" s="27" t="str">
        <f>IF(DATA_INPUT!D245="","",DATA_INPUT!D245)</f>
        <v/>
      </c>
      <c r="F822" t="str">
        <f t="shared" si="10"/>
        <v/>
      </c>
      <c r="G822" t="str">
        <f t="shared" si="11"/>
        <v/>
      </c>
    </row>
    <row r="823" spans="1:7">
      <c r="A823" s="10" t="str">
        <f>IF(DATA_INPUT!A246="","",DATA_INPUT!A246)</f>
        <v/>
      </c>
      <c r="B823" t="str">
        <f t="shared" si="9"/>
        <v/>
      </c>
      <c r="C823" t="str">
        <f>IF(DATA_INPUT!B246="","",DATA_INPUT!B246)</f>
        <v/>
      </c>
      <c r="D823" t="str">
        <f>IF(DATA_INPUT!C246="","",DATA_INPUT!C246)</f>
        <v/>
      </c>
      <c r="E823" s="27" t="str">
        <f>IF(DATA_INPUT!D246="","",DATA_INPUT!D246)</f>
        <v/>
      </c>
      <c r="F823" t="str">
        <f t="shared" si="10"/>
        <v/>
      </c>
      <c r="G823" t="str">
        <f t="shared" si="11"/>
        <v/>
      </c>
    </row>
    <row r="824" spans="1:7">
      <c r="A824" s="10" t="str">
        <f>IF(DATA_INPUT!A247="","",DATA_INPUT!A247)</f>
        <v/>
      </c>
      <c r="B824" t="str">
        <f t="shared" si="9"/>
        <v/>
      </c>
      <c r="C824" t="str">
        <f>IF(DATA_INPUT!B247="","",DATA_INPUT!B247)</f>
        <v/>
      </c>
      <c r="D824" t="str">
        <f>IF(DATA_INPUT!C247="","",DATA_INPUT!C247)</f>
        <v/>
      </c>
      <c r="E824" s="27" t="str">
        <f>IF(DATA_INPUT!D247="","",DATA_INPUT!D247)</f>
        <v/>
      </c>
      <c r="F824" t="str">
        <f t="shared" si="10"/>
        <v/>
      </c>
      <c r="G824" t="str">
        <f t="shared" si="11"/>
        <v/>
      </c>
    </row>
    <row r="825" spans="1:7">
      <c r="A825" s="10" t="str">
        <f>IF(DATA_INPUT!A248="","",DATA_INPUT!A248)</f>
        <v/>
      </c>
      <c r="B825" t="str">
        <f t="shared" si="9"/>
        <v/>
      </c>
      <c r="C825" t="str">
        <f>IF(DATA_INPUT!B248="","",DATA_INPUT!B248)</f>
        <v/>
      </c>
      <c r="D825" t="str">
        <f>IF(DATA_INPUT!C248="","",DATA_INPUT!C248)</f>
        <v/>
      </c>
      <c r="E825" s="27" t="str">
        <f>IF(DATA_INPUT!D248="","",DATA_INPUT!D248)</f>
        <v/>
      </c>
      <c r="F825" t="str">
        <f t="shared" si="10"/>
        <v/>
      </c>
      <c r="G825" t="str">
        <f t="shared" si="11"/>
        <v/>
      </c>
    </row>
    <row r="826" spans="1:7">
      <c r="A826" s="10" t="str">
        <f>IF(DATA_INPUT!A249="","",DATA_INPUT!A249)</f>
        <v/>
      </c>
      <c r="B826" t="str">
        <f t="shared" si="9"/>
        <v/>
      </c>
      <c r="C826" t="str">
        <f>IF(DATA_INPUT!B249="","",DATA_INPUT!B249)</f>
        <v/>
      </c>
      <c r="D826" t="str">
        <f>IF(DATA_INPUT!C249="","",DATA_INPUT!C249)</f>
        <v/>
      </c>
      <c r="E826" s="27" t="str">
        <f>IF(DATA_INPUT!D249="","",DATA_INPUT!D249)</f>
        <v/>
      </c>
      <c r="F826" t="str">
        <f t="shared" si="10"/>
        <v/>
      </c>
      <c r="G826" t="str">
        <f t="shared" si="11"/>
        <v/>
      </c>
    </row>
    <row r="827" spans="1:7">
      <c r="A827" s="10" t="str">
        <f>IF(DATA_INPUT!A250="","",DATA_INPUT!A250)</f>
        <v/>
      </c>
      <c r="B827" t="str">
        <f t="shared" si="9"/>
        <v/>
      </c>
      <c r="C827" t="str">
        <f>IF(DATA_INPUT!B250="","",DATA_INPUT!B250)</f>
        <v/>
      </c>
      <c r="D827" t="str">
        <f>IF(DATA_INPUT!C250="","",DATA_INPUT!C250)</f>
        <v/>
      </c>
      <c r="E827" s="27" t="str">
        <f>IF(DATA_INPUT!D250="","",DATA_INPUT!D250)</f>
        <v/>
      </c>
      <c r="F827" t="str">
        <f t="shared" si="10"/>
        <v/>
      </c>
      <c r="G827" t="str">
        <f t="shared" si="11"/>
        <v/>
      </c>
    </row>
    <row r="828" spans="1:7">
      <c r="A828" s="10" t="str">
        <f>IF(DATA_INPUT!A251="","",DATA_INPUT!A251)</f>
        <v/>
      </c>
      <c r="B828" t="str">
        <f t="shared" si="9"/>
        <v/>
      </c>
      <c r="C828" t="str">
        <f>IF(DATA_INPUT!B251="","",DATA_INPUT!B251)</f>
        <v/>
      </c>
      <c r="D828" t="str">
        <f>IF(DATA_INPUT!C251="","",DATA_INPUT!C251)</f>
        <v/>
      </c>
      <c r="E828" s="27" t="str">
        <f>IF(DATA_INPUT!D251="","",DATA_INPUT!D251)</f>
        <v/>
      </c>
      <c r="F828" t="str">
        <f t="shared" si="10"/>
        <v/>
      </c>
      <c r="G828" t="str">
        <f t="shared" si="11"/>
        <v/>
      </c>
    </row>
    <row r="829" spans="1:7">
      <c r="A829" s="10" t="str">
        <f>IF(DATA_INPUT!A252="","",DATA_INPUT!A252)</f>
        <v/>
      </c>
      <c r="B829" t="str">
        <f t="shared" si="9"/>
        <v/>
      </c>
      <c r="C829" t="str">
        <f>IF(DATA_INPUT!B252="","",DATA_INPUT!B252)</f>
        <v/>
      </c>
      <c r="D829" t="str">
        <f>IF(DATA_INPUT!C252="","",DATA_INPUT!C252)</f>
        <v/>
      </c>
      <c r="E829" s="27" t="str">
        <f>IF(DATA_INPUT!D252="","",DATA_INPUT!D252)</f>
        <v/>
      </c>
      <c r="F829" t="str">
        <f t="shared" si="10"/>
        <v/>
      </c>
      <c r="G829" t="str">
        <f t="shared" si="11"/>
        <v/>
      </c>
    </row>
    <row r="830" spans="1:7">
      <c r="A830" s="10" t="str">
        <f>IF(DATA_INPUT!A253="","",DATA_INPUT!A253)</f>
        <v/>
      </c>
      <c r="B830" t="str">
        <f t="shared" si="9"/>
        <v/>
      </c>
      <c r="C830" t="str">
        <f>IF(DATA_INPUT!B253="","",DATA_INPUT!B253)</f>
        <v/>
      </c>
      <c r="D830" t="str">
        <f>IF(DATA_INPUT!C253="","",DATA_INPUT!C253)</f>
        <v/>
      </c>
      <c r="E830" s="27" t="str">
        <f>IF(DATA_INPUT!D253="","",DATA_INPUT!D253)</f>
        <v/>
      </c>
      <c r="F830" t="str">
        <f t="shared" si="10"/>
        <v/>
      </c>
      <c r="G830" t="str">
        <f t="shared" si="11"/>
        <v/>
      </c>
    </row>
    <row r="831" spans="1:7">
      <c r="A831" s="10" t="str">
        <f>IF(DATA_INPUT!A254="","",DATA_INPUT!A254)</f>
        <v/>
      </c>
      <c r="B831" t="str">
        <f t="shared" si="9"/>
        <v/>
      </c>
      <c r="C831" t="str">
        <f>IF(DATA_INPUT!B254="","",DATA_INPUT!B254)</f>
        <v/>
      </c>
      <c r="D831" t="str">
        <f>IF(DATA_INPUT!C254="","",DATA_INPUT!C254)</f>
        <v/>
      </c>
      <c r="E831" s="27" t="str">
        <f>IF(DATA_INPUT!D254="","",DATA_INPUT!D254)</f>
        <v/>
      </c>
      <c r="F831" t="str">
        <f t="shared" si="10"/>
        <v/>
      </c>
      <c r="G831" t="str">
        <f t="shared" si="11"/>
        <v/>
      </c>
    </row>
    <row r="832" spans="1:7">
      <c r="A832" s="10" t="str">
        <f>IF(DATA_INPUT!A255="","",DATA_INPUT!A255)</f>
        <v/>
      </c>
      <c r="B832" t="str">
        <f t="shared" si="9"/>
        <v/>
      </c>
      <c r="C832" t="str">
        <f>IF(DATA_INPUT!B255="","",DATA_INPUT!B255)</f>
        <v/>
      </c>
      <c r="D832" t="str">
        <f>IF(DATA_INPUT!C255="","",DATA_INPUT!C255)</f>
        <v/>
      </c>
      <c r="E832" s="27" t="str">
        <f>IF(DATA_INPUT!D255="","",DATA_INPUT!D255)</f>
        <v/>
      </c>
      <c r="F832" t="str">
        <f t="shared" si="10"/>
        <v/>
      </c>
      <c r="G832" t="str">
        <f t="shared" si="11"/>
        <v/>
      </c>
    </row>
    <row r="833" spans="1:7">
      <c r="A833" s="10" t="str">
        <f>IF(DATA_INPUT!A256="","",DATA_INPUT!A256)</f>
        <v/>
      </c>
      <c r="B833" t="str">
        <f t="shared" si="9"/>
        <v/>
      </c>
      <c r="C833" t="str">
        <f>IF(DATA_INPUT!B256="","",DATA_INPUT!B256)</f>
        <v/>
      </c>
      <c r="D833" t="str">
        <f>IF(DATA_INPUT!C256="","",DATA_INPUT!C256)</f>
        <v/>
      </c>
      <c r="E833" s="27" t="str">
        <f>IF(DATA_INPUT!D256="","",DATA_INPUT!D256)</f>
        <v/>
      </c>
      <c r="F833" t="str">
        <f t="shared" si="10"/>
        <v/>
      </c>
      <c r="G833" t="str">
        <f t="shared" si="11"/>
        <v/>
      </c>
    </row>
    <row r="834" spans="1:7">
      <c r="A834" s="10" t="str">
        <f>IF(DATA_INPUT!A257="","",DATA_INPUT!A257)</f>
        <v/>
      </c>
      <c r="B834" t="str">
        <f t="shared" si="9"/>
        <v/>
      </c>
      <c r="C834" t="str">
        <f>IF(DATA_INPUT!B257="","",DATA_INPUT!B257)</f>
        <v/>
      </c>
      <c r="D834" t="str">
        <f>IF(DATA_INPUT!C257="","",DATA_INPUT!C257)</f>
        <v/>
      </c>
      <c r="E834" s="27" t="str">
        <f>IF(DATA_INPUT!D257="","",DATA_INPUT!D257)</f>
        <v/>
      </c>
      <c r="F834" t="str">
        <f t="shared" si="10"/>
        <v/>
      </c>
      <c r="G834" t="str">
        <f t="shared" si="11"/>
        <v/>
      </c>
    </row>
    <row r="835" spans="1:7">
      <c r="A835" s="10" t="str">
        <f>IF(DATA_INPUT!A258="","",DATA_INPUT!A258)</f>
        <v/>
      </c>
      <c r="B835" t="str">
        <f t="shared" si="9"/>
        <v/>
      </c>
      <c r="C835" t="str">
        <f>IF(DATA_INPUT!B258="","",DATA_INPUT!B258)</f>
        <v/>
      </c>
      <c r="D835" t="str">
        <f>IF(DATA_INPUT!C258="","",DATA_INPUT!C258)</f>
        <v/>
      </c>
      <c r="E835" s="27" t="str">
        <f>IF(DATA_INPUT!D258="","",DATA_INPUT!D258)</f>
        <v/>
      </c>
      <c r="F835" t="str">
        <f t="shared" si="10"/>
        <v/>
      </c>
      <c r="G835" t="str">
        <f t="shared" si="11"/>
        <v/>
      </c>
    </row>
    <row r="836" spans="1:7">
      <c r="A836" s="10" t="str">
        <f>IF(DATA_INPUT!A259="","",DATA_INPUT!A259)</f>
        <v/>
      </c>
      <c r="B836" t="str">
        <f t="shared" ref="B836:B899" si="12">IF(A836="","",TEXT(A836,"dddd"))</f>
        <v/>
      </c>
      <c r="C836" t="str">
        <f>IF(DATA_INPUT!B259="","",DATA_INPUT!B259)</f>
        <v/>
      </c>
      <c r="D836" t="str">
        <f>IF(DATA_INPUT!C259="","",DATA_INPUT!C259)</f>
        <v/>
      </c>
      <c r="E836" s="27" t="str">
        <f>IF(DATA_INPUT!D259="","",DATA_INPUT!D259)</f>
        <v/>
      </c>
      <c r="F836" t="str">
        <f t="shared" ref="F836:F899" si="13">IF(A836="","",TEXT(A836,"mmm yyyy"))</f>
        <v/>
      </c>
      <c r="G836" t="str">
        <f t="shared" ref="G836:G899" si="14">IF(A836="","",WEEKNUM(A836))</f>
        <v/>
      </c>
    </row>
    <row r="837" spans="1:7">
      <c r="A837" s="10" t="str">
        <f>IF(DATA_INPUT!A260="","",DATA_INPUT!A260)</f>
        <v/>
      </c>
      <c r="B837" t="str">
        <f t="shared" si="12"/>
        <v/>
      </c>
      <c r="C837" t="str">
        <f>IF(DATA_INPUT!B260="","",DATA_INPUT!B260)</f>
        <v/>
      </c>
      <c r="D837" t="str">
        <f>IF(DATA_INPUT!C260="","",DATA_INPUT!C260)</f>
        <v/>
      </c>
      <c r="E837" s="27" t="str">
        <f>IF(DATA_INPUT!D260="","",DATA_INPUT!D260)</f>
        <v/>
      </c>
      <c r="F837" t="str">
        <f t="shared" si="13"/>
        <v/>
      </c>
      <c r="G837" t="str">
        <f t="shared" si="14"/>
        <v/>
      </c>
    </row>
    <row r="838" spans="1:7">
      <c r="A838" s="10" t="str">
        <f>IF(DATA_INPUT!A261="","",DATA_INPUT!A261)</f>
        <v/>
      </c>
      <c r="B838" t="str">
        <f t="shared" si="12"/>
        <v/>
      </c>
      <c r="C838" t="str">
        <f>IF(DATA_INPUT!B261="","",DATA_INPUT!B261)</f>
        <v/>
      </c>
      <c r="D838" t="str">
        <f>IF(DATA_INPUT!C261="","",DATA_INPUT!C261)</f>
        <v/>
      </c>
      <c r="E838" s="27" t="str">
        <f>IF(DATA_INPUT!D261="","",DATA_INPUT!D261)</f>
        <v/>
      </c>
      <c r="F838" t="str">
        <f t="shared" si="13"/>
        <v/>
      </c>
      <c r="G838" t="str">
        <f t="shared" si="14"/>
        <v/>
      </c>
    </row>
    <row r="839" spans="1:7">
      <c r="A839" s="10" t="str">
        <f>IF(DATA_INPUT!A262="","",DATA_INPUT!A262)</f>
        <v/>
      </c>
      <c r="B839" t="str">
        <f t="shared" si="12"/>
        <v/>
      </c>
      <c r="C839" t="str">
        <f>IF(DATA_INPUT!B262="","",DATA_INPUT!B262)</f>
        <v/>
      </c>
      <c r="D839" t="str">
        <f>IF(DATA_INPUT!C262="","",DATA_INPUT!C262)</f>
        <v/>
      </c>
      <c r="E839" s="27" t="str">
        <f>IF(DATA_INPUT!D262="","",DATA_INPUT!D262)</f>
        <v/>
      </c>
      <c r="F839" t="str">
        <f t="shared" si="13"/>
        <v/>
      </c>
      <c r="G839" t="str">
        <f t="shared" si="14"/>
        <v/>
      </c>
    </row>
    <row r="840" spans="1:7">
      <c r="A840" s="10" t="str">
        <f>IF(DATA_INPUT!A263="","",DATA_INPUT!A263)</f>
        <v/>
      </c>
      <c r="B840" t="str">
        <f t="shared" si="12"/>
        <v/>
      </c>
      <c r="C840" t="str">
        <f>IF(DATA_INPUT!B263="","",DATA_INPUT!B263)</f>
        <v/>
      </c>
      <c r="D840" t="str">
        <f>IF(DATA_INPUT!C263="","",DATA_INPUT!C263)</f>
        <v/>
      </c>
      <c r="E840" s="27" t="str">
        <f>IF(DATA_INPUT!D263="","",DATA_INPUT!D263)</f>
        <v/>
      </c>
      <c r="F840" t="str">
        <f t="shared" si="13"/>
        <v/>
      </c>
      <c r="G840" t="str">
        <f t="shared" si="14"/>
        <v/>
      </c>
    </row>
    <row r="841" spans="1:7">
      <c r="A841" s="10" t="str">
        <f>IF(DATA_INPUT!A264="","",DATA_INPUT!A264)</f>
        <v/>
      </c>
      <c r="B841" t="str">
        <f t="shared" si="12"/>
        <v/>
      </c>
      <c r="C841" t="str">
        <f>IF(DATA_INPUT!B264="","",DATA_INPUT!B264)</f>
        <v/>
      </c>
      <c r="D841" t="str">
        <f>IF(DATA_INPUT!C264="","",DATA_INPUT!C264)</f>
        <v/>
      </c>
      <c r="E841" s="27" t="str">
        <f>IF(DATA_INPUT!D264="","",DATA_INPUT!D264)</f>
        <v/>
      </c>
      <c r="F841" t="str">
        <f t="shared" si="13"/>
        <v/>
      </c>
      <c r="G841" t="str">
        <f t="shared" si="14"/>
        <v/>
      </c>
    </row>
    <row r="842" spans="1:7">
      <c r="A842" s="10" t="str">
        <f>IF(DATA_INPUT!A265="","",DATA_INPUT!A265)</f>
        <v/>
      </c>
      <c r="B842" t="str">
        <f t="shared" si="12"/>
        <v/>
      </c>
      <c r="C842" t="str">
        <f>IF(DATA_INPUT!B265="","",DATA_INPUT!B265)</f>
        <v/>
      </c>
      <c r="D842" t="str">
        <f>IF(DATA_INPUT!C265="","",DATA_INPUT!C265)</f>
        <v/>
      </c>
      <c r="E842" s="27" t="str">
        <f>IF(DATA_INPUT!D265="","",DATA_INPUT!D265)</f>
        <v/>
      </c>
      <c r="F842" t="str">
        <f t="shared" si="13"/>
        <v/>
      </c>
      <c r="G842" t="str">
        <f t="shared" si="14"/>
        <v/>
      </c>
    </row>
    <row r="843" spans="1:7">
      <c r="A843" s="10" t="str">
        <f>IF(DATA_INPUT!A266="","",DATA_INPUT!A266)</f>
        <v/>
      </c>
      <c r="B843" t="str">
        <f t="shared" si="12"/>
        <v/>
      </c>
      <c r="C843" t="str">
        <f>IF(DATA_INPUT!B266="","",DATA_INPUT!B266)</f>
        <v/>
      </c>
      <c r="D843" t="str">
        <f>IF(DATA_INPUT!C266="","",DATA_INPUT!C266)</f>
        <v/>
      </c>
      <c r="E843" s="27" t="str">
        <f>IF(DATA_INPUT!D266="","",DATA_INPUT!D266)</f>
        <v/>
      </c>
      <c r="F843" t="str">
        <f t="shared" si="13"/>
        <v/>
      </c>
      <c r="G843" t="str">
        <f t="shared" si="14"/>
        <v/>
      </c>
    </row>
    <row r="844" spans="1:7">
      <c r="A844" s="10" t="str">
        <f>IF(DATA_INPUT!A267="","",DATA_INPUT!A267)</f>
        <v/>
      </c>
      <c r="B844" t="str">
        <f t="shared" si="12"/>
        <v/>
      </c>
      <c r="C844" t="str">
        <f>IF(DATA_INPUT!B267="","",DATA_INPUT!B267)</f>
        <v/>
      </c>
      <c r="D844" t="str">
        <f>IF(DATA_INPUT!C267="","",DATA_INPUT!C267)</f>
        <v/>
      </c>
      <c r="E844" s="27" t="str">
        <f>IF(DATA_INPUT!D267="","",DATA_INPUT!D267)</f>
        <v/>
      </c>
      <c r="F844" t="str">
        <f t="shared" si="13"/>
        <v/>
      </c>
      <c r="G844" t="str">
        <f t="shared" si="14"/>
        <v/>
      </c>
    </row>
    <row r="845" spans="1:7">
      <c r="A845" s="10" t="str">
        <f>IF(DATA_INPUT!A268="","",DATA_INPUT!A268)</f>
        <v/>
      </c>
      <c r="B845" t="str">
        <f t="shared" si="12"/>
        <v/>
      </c>
      <c r="C845" t="str">
        <f>IF(DATA_INPUT!B268="","",DATA_INPUT!B268)</f>
        <v/>
      </c>
      <c r="D845" t="str">
        <f>IF(DATA_INPUT!C268="","",DATA_INPUT!C268)</f>
        <v/>
      </c>
      <c r="E845" s="27" t="str">
        <f>IF(DATA_INPUT!D268="","",DATA_INPUT!D268)</f>
        <v/>
      </c>
      <c r="F845" t="str">
        <f t="shared" si="13"/>
        <v/>
      </c>
      <c r="G845" t="str">
        <f t="shared" si="14"/>
        <v/>
      </c>
    </row>
    <row r="846" spans="1:7">
      <c r="A846" s="10" t="str">
        <f>IF(DATA_INPUT!A269="","",DATA_INPUT!A269)</f>
        <v/>
      </c>
      <c r="B846" t="str">
        <f t="shared" si="12"/>
        <v/>
      </c>
      <c r="C846" t="str">
        <f>IF(DATA_INPUT!B269="","",DATA_INPUT!B269)</f>
        <v/>
      </c>
      <c r="D846" t="str">
        <f>IF(DATA_INPUT!C269="","",DATA_INPUT!C269)</f>
        <v/>
      </c>
      <c r="E846" s="27" t="str">
        <f>IF(DATA_INPUT!D269="","",DATA_INPUT!D269)</f>
        <v/>
      </c>
      <c r="F846" t="str">
        <f t="shared" si="13"/>
        <v/>
      </c>
      <c r="G846" t="str">
        <f t="shared" si="14"/>
        <v/>
      </c>
    </row>
    <row r="847" spans="1:7">
      <c r="A847" s="10" t="str">
        <f>IF(DATA_INPUT!A270="","",DATA_INPUT!A270)</f>
        <v/>
      </c>
      <c r="B847" t="str">
        <f t="shared" si="12"/>
        <v/>
      </c>
      <c r="C847" t="str">
        <f>IF(DATA_INPUT!B270="","",DATA_INPUT!B270)</f>
        <v/>
      </c>
      <c r="D847" t="str">
        <f>IF(DATA_INPUT!C270="","",DATA_INPUT!C270)</f>
        <v/>
      </c>
      <c r="E847" s="27" t="str">
        <f>IF(DATA_INPUT!D270="","",DATA_INPUT!D270)</f>
        <v/>
      </c>
      <c r="F847" t="str">
        <f t="shared" si="13"/>
        <v/>
      </c>
      <c r="G847" t="str">
        <f t="shared" si="14"/>
        <v/>
      </c>
    </row>
    <row r="848" spans="1:7">
      <c r="A848" s="10" t="str">
        <f>IF(DATA_INPUT!A271="","",DATA_INPUT!A271)</f>
        <v/>
      </c>
      <c r="B848" t="str">
        <f t="shared" si="12"/>
        <v/>
      </c>
      <c r="C848" t="str">
        <f>IF(DATA_INPUT!B271="","",DATA_INPUT!B271)</f>
        <v/>
      </c>
      <c r="D848" t="str">
        <f>IF(DATA_INPUT!C271="","",DATA_INPUT!C271)</f>
        <v/>
      </c>
      <c r="E848" s="27" t="str">
        <f>IF(DATA_INPUT!D271="","",DATA_INPUT!D271)</f>
        <v/>
      </c>
      <c r="F848" t="str">
        <f t="shared" si="13"/>
        <v/>
      </c>
      <c r="G848" t="str">
        <f t="shared" si="14"/>
        <v/>
      </c>
    </row>
    <row r="849" spans="1:7">
      <c r="A849" s="10" t="str">
        <f>IF(DATA_INPUT!A272="","",DATA_INPUT!A272)</f>
        <v/>
      </c>
      <c r="B849" t="str">
        <f t="shared" si="12"/>
        <v/>
      </c>
      <c r="C849" t="str">
        <f>IF(DATA_INPUT!B272="","",DATA_INPUT!B272)</f>
        <v/>
      </c>
      <c r="D849" t="str">
        <f>IF(DATA_INPUT!C272="","",DATA_INPUT!C272)</f>
        <v/>
      </c>
      <c r="E849" s="27" t="str">
        <f>IF(DATA_INPUT!D272="","",DATA_INPUT!D272)</f>
        <v/>
      </c>
      <c r="F849" t="str">
        <f t="shared" si="13"/>
        <v/>
      </c>
      <c r="G849" t="str">
        <f t="shared" si="14"/>
        <v/>
      </c>
    </row>
    <row r="850" spans="1:7">
      <c r="A850" s="10" t="str">
        <f>IF(DATA_INPUT!A273="","",DATA_INPUT!A273)</f>
        <v/>
      </c>
      <c r="B850" t="str">
        <f t="shared" si="12"/>
        <v/>
      </c>
      <c r="C850" t="str">
        <f>IF(DATA_INPUT!B273="","",DATA_INPUT!B273)</f>
        <v/>
      </c>
      <c r="D850" t="str">
        <f>IF(DATA_INPUT!C273="","",DATA_INPUT!C273)</f>
        <v/>
      </c>
      <c r="E850" s="27" t="str">
        <f>IF(DATA_INPUT!D273="","",DATA_INPUT!D273)</f>
        <v/>
      </c>
      <c r="F850" t="str">
        <f t="shared" si="13"/>
        <v/>
      </c>
      <c r="G850" t="str">
        <f t="shared" si="14"/>
        <v/>
      </c>
    </row>
    <row r="851" spans="1:7">
      <c r="A851" s="10" t="str">
        <f>IF(DATA_INPUT!A274="","",DATA_INPUT!A274)</f>
        <v/>
      </c>
      <c r="B851" t="str">
        <f t="shared" si="12"/>
        <v/>
      </c>
      <c r="C851" t="str">
        <f>IF(DATA_INPUT!B274="","",DATA_INPUT!B274)</f>
        <v/>
      </c>
      <c r="D851" t="str">
        <f>IF(DATA_INPUT!C274="","",DATA_INPUT!C274)</f>
        <v/>
      </c>
      <c r="E851" s="27" t="str">
        <f>IF(DATA_INPUT!D274="","",DATA_INPUT!D274)</f>
        <v/>
      </c>
      <c r="F851" t="str">
        <f t="shared" si="13"/>
        <v/>
      </c>
      <c r="G851" t="str">
        <f t="shared" si="14"/>
        <v/>
      </c>
    </row>
    <row r="852" spans="1:7">
      <c r="A852" s="10" t="str">
        <f>IF(DATA_INPUT!A275="","",DATA_INPUT!A275)</f>
        <v/>
      </c>
      <c r="B852" t="str">
        <f t="shared" si="12"/>
        <v/>
      </c>
      <c r="C852" t="str">
        <f>IF(DATA_INPUT!B275="","",DATA_INPUT!B275)</f>
        <v/>
      </c>
      <c r="D852" t="str">
        <f>IF(DATA_INPUT!C275="","",DATA_INPUT!C275)</f>
        <v/>
      </c>
      <c r="E852" s="27" t="str">
        <f>IF(DATA_INPUT!D275="","",DATA_INPUT!D275)</f>
        <v/>
      </c>
      <c r="F852" t="str">
        <f t="shared" si="13"/>
        <v/>
      </c>
      <c r="G852" t="str">
        <f t="shared" si="14"/>
        <v/>
      </c>
    </row>
    <row r="853" spans="1:7">
      <c r="A853" s="10" t="str">
        <f>IF(DATA_INPUT!A276="","",DATA_INPUT!A276)</f>
        <v/>
      </c>
      <c r="B853" t="str">
        <f t="shared" si="12"/>
        <v/>
      </c>
      <c r="C853" t="str">
        <f>IF(DATA_INPUT!B276="","",DATA_INPUT!B276)</f>
        <v/>
      </c>
      <c r="D853" t="str">
        <f>IF(DATA_INPUT!C276="","",DATA_INPUT!C276)</f>
        <v/>
      </c>
      <c r="E853" s="27" t="str">
        <f>IF(DATA_INPUT!D276="","",DATA_INPUT!D276)</f>
        <v/>
      </c>
      <c r="F853" t="str">
        <f t="shared" si="13"/>
        <v/>
      </c>
      <c r="G853" t="str">
        <f t="shared" si="14"/>
        <v/>
      </c>
    </row>
    <row r="854" spans="1:7">
      <c r="A854" s="10" t="str">
        <f>IF(DATA_INPUT!A277="","",DATA_INPUT!A277)</f>
        <v/>
      </c>
      <c r="B854" t="str">
        <f t="shared" si="12"/>
        <v/>
      </c>
      <c r="C854" t="str">
        <f>IF(DATA_INPUT!B277="","",DATA_INPUT!B277)</f>
        <v/>
      </c>
      <c r="D854" t="str">
        <f>IF(DATA_INPUT!C277="","",DATA_INPUT!C277)</f>
        <v/>
      </c>
      <c r="E854" s="27" t="str">
        <f>IF(DATA_INPUT!D277="","",DATA_INPUT!D277)</f>
        <v/>
      </c>
      <c r="F854" t="str">
        <f t="shared" si="13"/>
        <v/>
      </c>
      <c r="G854" t="str">
        <f t="shared" si="14"/>
        <v/>
      </c>
    </row>
    <row r="855" spans="1:7">
      <c r="A855" s="10" t="str">
        <f>IF(DATA_INPUT!A278="","",DATA_INPUT!A278)</f>
        <v/>
      </c>
      <c r="B855" t="str">
        <f t="shared" si="12"/>
        <v/>
      </c>
      <c r="C855" t="str">
        <f>IF(DATA_INPUT!B278="","",DATA_INPUT!B278)</f>
        <v/>
      </c>
      <c r="D855" t="str">
        <f>IF(DATA_INPUT!C278="","",DATA_INPUT!C278)</f>
        <v/>
      </c>
      <c r="E855" s="27" t="str">
        <f>IF(DATA_INPUT!D278="","",DATA_INPUT!D278)</f>
        <v/>
      </c>
      <c r="F855" t="str">
        <f t="shared" si="13"/>
        <v/>
      </c>
      <c r="G855" t="str">
        <f t="shared" si="14"/>
        <v/>
      </c>
    </row>
    <row r="856" spans="1:7">
      <c r="A856" s="10" t="str">
        <f>IF(DATA_INPUT!A279="","",DATA_INPUT!A279)</f>
        <v/>
      </c>
      <c r="B856" t="str">
        <f t="shared" si="12"/>
        <v/>
      </c>
      <c r="C856" t="str">
        <f>IF(DATA_INPUT!B279="","",DATA_INPUT!B279)</f>
        <v/>
      </c>
      <c r="D856" t="str">
        <f>IF(DATA_INPUT!C279="","",DATA_INPUT!C279)</f>
        <v/>
      </c>
      <c r="E856" s="27" t="str">
        <f>IF(DATA_INPUT!D279="","",DATA_INPUT!D279)</f>
        <v/>
      </c>
      <c r="F856" t="str">
        <f t="shared" si="13"/>
        <v/>
      </c>
      <c r="G856" t="str">
        <f t="shared" si="14"/>
        <v/>
      </c>
    </row>
    <row r="857" spans="1:7">
      <c r="A857" s="10" t="str">
        <f>IF(DATA_INPUT!A280="","",DATA_INPUT!A280)</f>
        <v/>
      </c>
      <c r="B857" t="str">
        <f t="shared" si="12"/>
        <v/>
      </c>
      <c r="C857" t="str">
        <f>IF(DATA_INPUT!B280="","",DATA_INPUT!B280)</f>
        <v/>
      </c>
      <c r="D857" t="str">
        <f>IF(DATA_INPUT!C280="","",DATA_INPUT!C280)</f>
        <v/>
      </c>
      <c r="E857" s="27" t="str">
        <f>IF(DATA_INPUT!D280="","",DATA_INPUT!D280)</f>
        <v/>
      </c>
      <c r="F857" t="str">
        <f t="shared" si="13"/>
        <v/>
      </c>
      <c r="G857" t="str">
        <f t="shared" si="14"/>
        <v/>
      </c>
    </row>
    <row r="858" spans="1:7">
      <c r="A858" s="10" t="str">
        <f>IF(DATA_INPUT!A281="","",DATA_INPUT!A281)</f>
        <v/>
      </c>
      <c r="B858" t="str">
        <f t="shared" si="12"/>
        <v/>
      </c>
      <c r="C858" t="str">
        <f>IF(DATA_INPUT!B281="","",DATA_INPUT!B281)</f>
        <v/>
      </c>
      <c r="D858" t="str">
        <f>IF(DATA_INPUT!C281="","",DATA_INPUT!C281)</f>
        <v/>
      </c>
      <c r="E858" s="27" t="str">
        <f>IF(DATA_INPUT!D281="","",DATA_INPUT!D281)</f>
        <v/>
      </c>
      <c r="F858" t="str">
        <f t="shared" si="13"/>
        <v/>
      </c>
      <c r="G858" t="str">
        <f t="shared" si="14"/>
        <v/>
      </c>
    </row>
    <row r="859" spans="1:7">
      <c r="A859" s="10" t="str">
        <f>IF(DATA_INPUT!A282="","",DATA_INPUT!A282)</f>
        <v/>
      </c>
      <c r="B859" t="str">
        <f t="shared" si="12"/>
        <v/>
      </c>
      <c r="C859" t="str">
        <f>IF(DATA_INPUT!B282="","",DATA_INPUT!B282)</f>
        <v/>
      </c>
      <c r="D859" t="str">
        <f>IF(DATA_INPUT!C282="","",DATA_INPUT!C282)</f>
        <v/>
      </c>
      <c r="E859" s="27" t="str">
        <f>IF(DATA_INPUT!D282="","",DATA_INPUT!D282)</f>
        <v/>
      </c>
      <c r="F859" t="str">
        <f t="shared" si="13"/>
        <v/>
      </c>
      <c r="G859" t="str">
        <f t="shared" si="14"/>
        <v/>
      </c>
    </row>
    <row r="860" spans="1:7">
      <c r="A860" s="10" t="str">
        <f>IF(DATA_INPUT!A283="","",DATA_INPUT!A283)</f>
        <v/>
      </c>
      <c r="B860" t="str">
        <f t="shared" si="12"/>
        <v/>
      </c>
      <c r="C860" t="str">
        <f>IF(DATA_INPUT!B283="","",DATA_INPUT!B283)</f>
        <v/>
      </c>
      <c r="D860" t="str">
        <f>IF(DATA_INPUT!C283="","",DATA_INPUT!C283)</f>
        <v/>
      </c>
      <c r="E860" s="27" t="str">
        <f>IF(DATA_INPUT!D283="","",DATA_INPUT!D283)</f>
        <v/>
      </c>
      <c r="F860" t="str">
        <f t="shared" si="13"/>
        <v/>
      </c>
      <c r="G860" t="str">
        <f t="shared" si="14"/>
        <v/>
      </c>
    </row>
    <row r="861" spans="1:7">
      <c r="A861" s="10" t="str">
        <f>IF(DATA_INPUT!A284="","",DATA_INPUT!A284)</f>
        <v/>
      </c>
      <c r="B861" t="str">
        <f t="shared" si="12"/>
        <v/>
      </c>
      <c r="C861" t="str">
        <f>IF(DATA_INPUT!B284="","",DATA_INPUT!B284)</f>
        <v/>
      </c>
      <c r="D861" t="str">
        <f>IF(DATA_INPUT!C284="","",DATA_INPUT!C284)</f>
        <v/>
      </c>
      <c r="E861" s="27" t="str">
        <f>IF(DATA_INPUT!D284="","",DATA_INPUT!D284)</f>
        <v/>
      </c>
      <c r="F861" t="str">
        <f t="shared" si="13"/>
        <v/>
      </c>
      <c r="G861" t="str">
        <f t="shared" si="14"/>
        <v/>
      </c>
    </row>
    <row r="862" spans="1:7">
      <c r="A862" s="10" t="str">
        <f>IF(DATA_INPUT!A285="","",DATA_INPUT!A285)</f>
        <v/>
      </c>
      <c r="B862" t="str">
        <f t="shared" si="12"/>
        <v/>
      </c>
      <c r="C862" t="str">
        <f>IF(DATA_INPUT!B285="","",DATA_INPUT!B285)</f>
        <v/>
      </c>
      <c r="D862" t="str">
        <f>IF(DATA_INPUT!C285="","",DATA_INPUT!C285)</f>
        <v/>
      </c>
      <c r="E862" s="27" t="str">
        <f>IF(DATA_INPUT!D285="","",DATA_INPUT!D285)</f>
        <v/>
      </c>
      <c r="F862" t="str">
        <f t="shared" si="13"/>
        <v/>
      </c>
      <c r="G862" t="str">
        <f t="shared" si="14"/>
        <v/>
      </c>
    </row>
    <row r="863" spans="1:7">
      <c r="A863" s="10" t="str">
        <f>IF(DATA_INPUT!A286="","",DATA_INPUT!A286)</f>
        <v/>
      </c>
      <c r="B863" t="str">
        <f t="shared" si="12"/>
        <v/>
      </c>
      <c r="C863" t="str">
        <f>IF(DATA_INPUT!B286="","",DATA_INPUT!B286)</f>
        <v/>
      </c>
      <c r="D863" t="str">
        <f>IF(DATA_INPUT!C286="","",DATA_INPUT!C286)</f>
        <v/>
      </c>
      <c r="E863" s="27" t="str">
        <f>IF(DATA_INPUT!D286="","",DATA_INPUT!D286)</f>
        <v/>
      </c>
      <c r="F863" t="str">
        <f t="shared" si="13"/>
        <v/>
      </c>
      <c r="G863" t="str">
        <f t="shared" si="14"/>
        <v/>
      </c>
    </row>
    <row r="864" spans="1:7">
      <c r="A864" s="10" t="str">
        <f>IF(DATA_INPUT!A287="","",DATA_INPUT!A287)</f>
        <v/>
      </c>
      <c r="B864" t="str">
        <f t="shared" si="12"/>
        <v/>
      </c>
      <c r="C864" t="str">
        <f>IF(DATA_INPUT!B287="","",DATA_INPUT!B287)</f>
        <v/>
      </c>
      <c r="D864" t="str">
        <f>IF(DATA_INPUT!C287="","",DATA_INPUT!C287)</f>
        <v/>
      </c>
      <c r="E864" s="27" t="str">
        <f>IF(DATA_INPUT!D287="","",DATA_INPUT!D287)</f>
        <v/>
      </c>
      <c r="F864" t="str">
        <f t="shared" si="13"/>
        <v/>
      </c>
      <c r="G864" t="str">
        <f t="shared" si="14"/>
        <v/>
      </c>
    </row>
    <row r="865" spans="1:7">
      <c r="A865" s="10" t="str">
        <f>IF(DATA_INPUT!A288="","",DATA_INPUT!A288)</f>
        <v/>
      </c>
      <c r="B865" t="str">
        <f t="shared" si="12"/>
        <v/>
      </c>
      <c r="C865" t="str">
        <f>IF(DATA_INPUT!B288="","",DATA_INPUT!B288)</f>
        <v/>
      </c>
      <c r="D865" t="str">
        <f>IF(DATA_INPUT!C288="","",DATA_INPUT!C288)</f>
        <v/>
      </c>
      <c r="E865" s="27" t="str">
        <f>IF(DATA_INPUT!D288="","",DATA_INPUT!D288)</f>
        <v/>
      </c>
      <c r="F865" t="str">
        <f t="shared" si="13"/>
        <v/>
      </c>
      <c r="G865" t="str">
        <f t="shared" si="14"/>
        <v/>
      </c>
    </row>
    <row r="866" spans="1:7">
      <c r="A866" s="10" t="str">
        <f>IF(DATA_INPUT!A289="","",DATA_INPUT!A289)</f>
        <v/>
      </c>
      <c r="B866" t="str">
        <f t="shared" si="12"/>
        <v/>
      </c>
      <c r="C866" t="str">
        <f>IF(DATA_INPUT!B289="","",DATA_INPUT!B289)</f>
        <v/>
      </c>
      <c r="D866" t="str">
        <f>IF(DATA_INPUT!C289="","",DATA_INPUT!C289)</f>
        <v/>
      </c>
      <c r="E866" s="27" t="str">
        <f>IF(DATA_INPUT!D289="","",DATA_INPUT!D289)</f>
        <v/>
      </c>
      <c r="F866" t="str">
        <f t="shared" si="13"/>
        <v/>
      </c>
      <c r="G866" t="str">
        <f t="shared" si="14"/>
        <v/>
      </c>
    </row>
    <row r="867" spans="1:7">
      <c r="A867" s="10" t="str">
        <f>IF(DATA_INPUT!A290="","",DATA_INPUT!A290)</f>
        <v/>
      </c>
      <c r="B867" t="str">
        <f t="shared" si="12"/>
        <v/>
      </c>
      <c r="C867" t="str">
        <f>IF(DATA_INPUT!B290="","",DATA_INPUT!B290)</f>
        <v/>
      </c>
      <c r="D867" t="str">
        <f>IF(DATA_INPUT!C290="","",DATA_INPUT!C290)</f>
        <v/>
      </c>
      <c r="E867" s="27" t="str">
        <f>IF(DATA_INPUT!D290="","",DATA_INPUT!D290)</f>
        <v/>
      </c>
      <c r="F867" t="str">
        <f t="shared" si="13"/>
        <v/>
      </c>
      <c r="G867" t="str">
        <f t="shared" si="14"/>
        <v/>
      </c>
    </row>
    <row r="868" spans="1:7">
      <c r="A868" s="10" t="str">
        <f>IF(DATA_INPUT!A291="","",DATA_INPUT!A291)</f>
        <v/>
      </c>
      <c r="B868" t="str">
        <f t="shared" si="12"/>
        <v/>
      </c>
      <c r="C868" t="str">
        <f>IF(DATA_INPUT!B291="","",DATA_INPUT!B291)</f>
        <v/>
      </c>
      <c r="D868" t="str">
        <f>IF(DATA_INPUT!C291="","",DATA_INPUT!C291)</f>
        <v/>
      </c>
      <c r="E868" s="27" t="str">
        <f>IF(DATA_INPUT!D291="","",DATA_INPUT!D291)</f>
        <v/>
      </c>
      <c r="F868" t="str">
        <f t="shared" si="13"/>
        <v/>
      </c>
      <c r="G868" t="str">
        <f t="shared" si="14"/>
        <v/>
      </c>
    </row>
    <row r="869" spans="1:7">
      <c r="A869" s="10" t="str">
        <f>IF(DATA_INPUT!A292="","",DATA_INPUT!A292)</f>
        <v/>
      </c>
      <c r="B869" t="str">
        <f t="shared" si="12"/>
        <v/>
      </c>
      <c r="C869" t="str">
        <f>IF(DATA_INPUT!B292="","",DATA_INPUT!B292)</f>
        <v/>
      </c>
      <c r="D869" t="str">
        <f>IF(DATA_INPUT!C292="","",DATA_INPUT!C292)</f>
        <v/>
      </c>
      <c r="E869" s="27" t="str">
        <f>IF(DATA_INPUT!D292="","",DATA_INPUT!D292)</f>
        <v/>
      </c>
      <c r="F869" t="str">
        <f t="shared" si="13"/>
        <v/>
      </c>
      <c r="G869" t="str">
        <f t="shared" si="14"/>
        <v/>
      </c>
    </row>
    <row r="870" spans="1:7">
      <c r="A870" s="10" t="str">
        <f>IF(DATA_INPUT!A293="","",DATA_INPUT!A293)</f>
        <v/>
      </c>
      <c r="B870" t="str">
        <f t="shared" si="12"/>
        <v/>
      </c>
      <c r="C870" t="str">
        <f>IF(DATA_INPUT!B293="","",DATA_INPUT!B293)</f>
        <v/>
      </c>
      <c r="D870" t="str">
        <f>IF(DATA_INPUT!C293="","",DATA_INPUT!C293)</f>
        <v/>
      </c>
      <c r="E870" s="27" t="str">
        <f>IF(DATA_INPUT!D293="","",DATA_INPUT!D293)</f>
        <v/>
      </c>
      <c r="F870" t="str">
        <f t="shared" si="13"/>
        <v/>
      </c>
      <c r="G870" t="str">
        <f t="shared" si="14"/>
        <v/>
      </c>
    </row>
    <row r="871" spans="1:7">
      <c r="A871" s="10" t="str">
        <f>IF(DATA_INPUT!A294="","",DATA_INPUT!A294)</f>
        <v/>
      </c>
      <c r="B871" t="str">
        <f t="shared" si="12"/>
        <v/>
      </c>
      <c r="C871" t="str">
        <f>IF(DATA_INPUT!B294="","",DATA_INPUT!B294)</f>
        <v/>
      </c>
      <c r="D871" t="str">
        <f>IF(DATA_INPUT!C294="","",DATA_INPUT!C294)</f>
        <v/>
      </c>
      <c r="E871" s="27" t="str">
        <f>IF(DATA_INPUT!D294="","",DATA_INPUT!D294)</f>
        <v/>
      </c>
      <c r="F871" t="str">
        <f t="shared" si="13"/>
        <v/>
      </c>
      <c r="G871" t="str">
        <f t="shared" si="14"/>
        <v/>
      </c>
    </row>
    <row r="872" spans="1:7">
      <c r="A872" s="10" t="str">
        <f>IF(DATA_INPUT!A295="","",DATA_INPUT!A295)</f>
        <v/>
      </c>
      <c r="B872" t="str">
        <f t="shared" si="12"/>
        <v/>
      </c>
      <c r="C872" t="str">
        <f>IF(DATA_INPUT!B295="","",DATA_INPUT!B295)</f>
        <v/>
      </c>
      <c r="D872" t="str">
        <f>IF(DATA_INPUT!C295="","",DATA_INPUT!C295)</f>
        <v/>
      </c>
      <c r="E872" s="27" t="str">
        <f>IF(DATA_INPUT!D295="","",DATA_INPUT!D295)</f>
        <v/>
      </c>
      <c r="F872" t="str">
        <f t="shared" si="13"/>
        <v/>
      </c>
      <c r="G872" t="str">
        <f t="shared" si="14"/>
        <v/>
      </c>
    </row>
    <row r="873" spans="1:7">
      <c r="A873" s="10" t="str">
        <f>IF(DATA_INPUT!A296="","",DATA_INPUT!A296)</f>
        <v/>
      </c>
      <c r="B873" t="str">
        <f t="shared" si="12"/>
        <v/>
      </c>
      <c r="C873" t="str">
        <f>IF(DATA_INPUT!B296="","",DATA_INPUT!B296)</f>
        <v/>
      </c>
      <c r="D873" t="str">
        <f>IF(DATA_INPUT!C296="","",DATA_INPUT!C296)</f>
        <v/>
      </c>
      <c r="E873" s="27" t="str">
        <f>IF(DATA_INPUT!D296="","",DATA_INPUT!D296)</f>
        <v/>
      </c>
      <c r="F873" t="str">
        <f t="shared" si="13"/>
        <v/>
      </c>
      <c r="G873" t="str">
        <f t="shared" si="14"/>
        <v/>
      </c>
    </row>
    <row r="874" spans="1:7">
      <c r="A874" s="10" t="str">
        <f>IF(DATA_INPUT!A297="","",DATA_INPUT!A297)</f>
        <v/>
      </c>
      <c r="B874" t="str">
        <f t="shared" si="12"/>
        <v/>
      </c>
      <c r="C874" t="str">
        <f>IF(DATA_INPUT!B297="","",DATA_INPUT!B297)</f>
        <v/>
      </c>
      <c r="D874" t="str">
        <f>IF(DATA_INPUT!C297="","",DATA_INPUT!C297)</f>
        <v/>
      </c>
      <c r="E874" s="27" t="str">
        <f>IF(DATA_INPUT!D297="","",DATA_INPUT!D297)</f>
        <v/>
      </c>
      <c r="F874" t="str">
        <f t="shared" si="13"/>
        <v/>
      </c>
      <c r="G874" t="str">
        <f t="shared" si="14"/>
        <v/>
      </c>
    </row>
    <row r="875" spans="1:7">
      <c r="A875" s="10" t="str">
        <f>IF(DATA_INPUT!A298="","",DATA_INPUT!A298)</f>
        <v/>
      </c>
      <c r="B875" t="str">
        <f t="shared" si="12"/>
        <v/>
      </c>
      <c r="C875" t="str">
        <f>IF(DATA_INPUT!B298="","",DATA_INPUT!B298)</f>
        <v/>
      </c>
      <c r="D875" t="str">
        <f>IF(DATA_INPUT!C298="","",DATA_INPUT!C298)</f>
        <v/>
      </c>
      <c r="E875" s="27" t="str">
        <f>IF(DATA_INPUT!D298="","",DATA_INPUT!D298)</f>
        <v/>
      </c>
      <c r="F875" t="str">
        <f t="shared" si="13"/>
        <v/>
      </c>
      <c r="G875" t="str">
        <f t="shared" si="14"/>
        <v/>
      </c>
    </row>
    <row r="876" spans="1:7">
      <c r="A876" s="10" t="str">
        <f>IF(DATA_INPUT!A299="","",DATA_INPUT!A299)</f>
        <v/>
      </c>
      <c r="B876" t="str">
        <f t="shared" si="12"/>
        <v/>
      </c>
      <c r="C876" t="str">
        <f>IF(DATA_INPUT!B299="","",DATA_INPUT!B299)</f>
        <v/>
      </c>
      <c r="D876" t="str">
        <f>IF(DATA_INPUT!C299="","",DATA_INPUT!C299)</f>
        <v/>
      </c>
      <c r="E876" s="27" t="str">
        <f>IF(DATA_INPUT!D299="","",DATA_INPUT!D299)</f>
        <v/>
      </c>
      <c r="F876" t="str">
        <f t="shared" si="13"/>
        <v/>
      </c>
      <c r="G876" t="str">
        <f t="shared" si="14"/>
        <v/>
      </c>
    </row>
    <row r="877" spans="1:7">
      <c r="A877" s="10" t="str">
        <f>IF(DATA_INPUT!A300="","",DATA_INPUT!A300)</f>
        <v/>
      </c>
      <c r="B877" t="str">
        <f t="shared" si="12"/>
        <v/>
      </c>
      <c r="C877" t="str">
        <f>IF(DATA_INPUT!B300="","",DATA_INPUT!B300)</f>
        <v/>
      </c>
      <c r="D877" t="str">
        <f>IF(DATA_INPUT!C300="","",DATA_INPUT!C300)</f>
        <v/>
      </c>
      <c r="E877" s="27" t="str">
        <f>IF(DATA_INPUT!D300="","",DATA_INPUT!D300)</f>
        <v/>
      </c>
      <c r="F877" t="str">
        <f t="shared" si="13"/>
        <v/>
      </c>
      <c r="G877" t="str">
        <f t="shared" si="14"/>
        <v/>
      </c>
    </row>
    <row r="878" spans="1:7">
      <c r="A878" s="10" t="str">
        <f>IF(DATA_INPUT!A301="","",DATA_INPUT!A301)</f>
        <v/>
      </c>
      <c r="B878" t="str">
        <f t="shared" si="12"/>
        <v/>
      </c>
      <c r="C878" t="str">
        <f>IF(DATA_INPUT!B301="","",DATA_INPUT!B301)</f>
        <v/>
      </c>
      <c r="D878" t="str">
        <f>IF(DATA_INPUT!C301="","",DATA_INPUT!C301)</f>
        <v/>
      </c>
      <c r="E878" s="27" t="str">
        <f>IF(DATA_INPUT!D301="","",DATA_INPUT!D301)</f>
        <v/>
      </c>
      <c r="F878" t="str">
        <f t="shared" si="13"/>
        <v/>
      </c>
      <c r="G878" t="str">
        <f t="shared" si="14"/>
        <v/>
      </c>
    </row>
    <row r="879" spans="1:7">
      <c r="A879" s="10" t="str">
        <f>IF(DATA_INPUT!A302="","",DATA_INPUT!A302)</f>
        <v/>
      </c>
      <c r="B879" t="str">
        <f t="shared" si="12"/>
        <v/>
      </c>
      <c r="C879" t="str">
        <f>IF(DATA_INPUT!B302="","",DATA_INPUT!B302)</f>
        <v/>
      </c>
      <c r="D879" t="str">
        <f>IF(DATA_INPUT!C302="","",DATA_INPUT!C302)</f>
        <v/>
      </c>
      <c r="E879" s="27" t="str">
        <f>IF(DATA_INPUT!D302="","",DATA_INPUT!D302)</f>
        <v/>
      </c>
      <c r="F879" t="str">
        <f t="shared" si="13"/>
        <v/>
      </c>
      <c r="G879" t="str">
        <f t="shared" si="14"/>
        <v/>
      </c>
    </row>
    <row r="880" spans="1:7">
      <c r="A880" s="10" t="str">
        <f>IF(DATA_INPUT!A303="","",DATA_INPUT!A303)</f>
        <v/>
      </c>
      <c r="B880" t="str">
        <f t="shared" si="12"/>
        <v/>
      </c>
      <c r="C880" t="str">
        <f>IF(DATA_INPUT!B303="","",DATA_INPUT!B303)</f>
        <v/>
      </c>
      <c r="D880" t="str">
        <f>IF(DATA_INPUT!C303="","",DATA_INPUT!C303)</f>
        <v/>
      </c>
      <c r="E880" s="27" t="str">
        <f>IF(DATA_INPUT!D303="","",DATA_INPUT!D303)</f>
        <v/>
      </c>
      <c r="F880" t="str">
        <f t="shared" si="13"/>
        <v/>
      </c>
      <c r="G880" t="str">
        <f t="shared" si="14"/>
        <v/>
      </c>
    </row>
    <row r="881" spans="1:7">
      <c r="A881" s="10" t="str">
        <f>IF(DATA_INPUT!A304="","",DATA_INPUT!A304)</f>
        <v/>
      </c>
      <c r="B881" t="str">
        <f t="shared" si="12"/>
        <v/>
      </c>
      <c r="C881" t="str">
        <f>IF(DATA_INPUT!B304="","",DATA_INPUT!B304)</f>
        <v/>
      </c>
      <c r="D881" t="str">
        <f>IF(DATA_INPUT!C304="","",DATA_INPUT!C304)</f>
        <v/>
      </c>
      <c r="E881" s="27" t="str">
        <f>IF(DATA_INPUT!D304="","",DATA_INPUT!D304)</f>
        <v/>
      </c>
      <c r="F881" t="str">
        <f t="shared" si="13"/>
        <v/>
      </c>
      <c r="G881" t="str">
        <f t="shared" si="14"/>
        <v/>
      </c>
    </row>
    <row r="882" spans="1:7">
      <c r="A882" s="10" t="str">
        <f>IF(DATA_INPUT!A305="","",DATA_INPUT!A305)</f>
        <v/>
      </c>
      <c r="B882" t="str">
        <f t="shared" si="12"/>
        <v/>
      </c>
      <c r="C882" t="str">
        <f>IF(DATA_INPUT!B305="","",DATA_INPUT!B305)</f>
        <v/>
      </c>
      <c r="D882" t="str">
        <f>IF(DATA_INPUT!C305="","",DATA_INPUT!C305)</f>
        <v/>
      </c>
      <c r="E882" s="27" t="str">
        <f>IF(DATA_INPUT!D305="","",DATA_INPUT!D305)</f>
        <v/>
      </c>
      <c r="F882" t="str">
        <f t="shared" si="13"/>
        <v/>
      </c>
      <c r="G882" t="str">
        <f t="shared" si="14"/>
        <v/>
      </c>
    </row>
    <row r="883" spans="1:7">
      <c r="A883" s="10" t="str">
        <f>IF(DATA_INPUT!A306="","",DATA_INPUT!A306)</f>
        <v/>
      </c>
      <c r="B883" t="str">
        <f t="shared" si="12"/>
        <v/>
      </c>
      <c r="C883" t="str">
        <f>IF(DATA_INPUT!B306="","",DATA_INPUT!B306)</f>
        <v/>
      </c>
      <c r="D883" t="str">
        <f>IF(DATA_INPUT!C306="","",DATA_INPUT!C306)</f>
        <v/>
      </c>
      <c r="E883" s="27" t="str">
        <f>IF(DATA_INPUT!D306="","",DATA_INPUT!D306)</f>
        <v/>
      </c>
      <c r="F883" t="str">
        <f t="shared" si="13"/>
        <v/>
      </c>
      <c r="G883" t="str">
        <f t="shared" si="14"/>
        <v/>
      </c>
    </row>
    <row r="884" spans="1:7">
      <c r="A884" s="10" t="str">
        <f>IF(DATA_INPUT!A307="","",DATA_INPUT!A307)</f>
        <v/>
      </c>
      <c r="B884" t="str">
        <f t="shared" si="12"/>
        <v/>
      </c>
      <c r="C884" t="str">
        <f>IF(DATA_INPUT!B307="","",DATA_INPUT!B307)</f>
        <v/>
      </c>
      <c r="D884" t="str">
        <f>IF(DATA_INPUT!C307="","",DATA_INPUT!C307)</f>
        <v/>
      </c>
      <c r="E884" s="27" t="str">
        <f>IF(DATA_INPUT!D307="","",DATA_INPUT!D307)</f>
        <v/>
      </c>
      <c r="F884" t="str">
        <f t="shared" si="13"/>
        <v/>
      </c>
      <c r="G884" t="str">
        <f t="shared" si="14"/>
        <v/>
      </c>
    </row>
    <row r="885" spans="1:7">
      <c r="A885" s="10" t="str">
        <f>IF(DATA_INPUT!A308="","",DATA_INPUT!A308)</f>
        <v/>
      </c>
      <c r="B885" t="str">
        <f t="shared" si="12"/>
        <v/>
      </c>
      <c r="C885" t="str">
        <f>IF(DATA_INPUT!B308="","",DATA_INPUT!B308)</f>
        <v/>
      </c>
      <c r="D885" t="str">
        <f>IF(DATA_INPUT!C308="","",DATA_INPUT!C308)</f>
        <v/>
      </c>
      <c r="E885" s="27" t="str">
        <f>IF(DATA_INPUT!D308="","",DATA_INPUT!D308)</f>
        <v/>
      </c>
      <c r="F885" t="str">
        <f t="shared" si="13"/>
        <v/>
      </c>
      <c r="G885" t="str">
        <f t="shared" si="14"/>
        <v/>
      </c>
    </row>
    <row r="886" spans="1:7">
      <c r="A886" s="10" t="str">
        <f>IF(DATA_INPUT!A309="","",DATA_INPUT!A309)</f>
        <v/>
      </c>
      <c r="B886" t="str">
        <f t="shared" si="12"/>
        <v/>
      </c>
      <c r="C886" t="str">
        <f>IF(DATA_INPUT!B309="","",DATA_INPUT!B309)</f>
        <v/>
      </c>
      <c r="D886" t="str">
        <f>IF(DATA_INPUT!C309="","",DATA_INPUT!C309)</f>
        <v/>
      </c>
      <c r="E886" s="27" t="str">
        <f>IF(DATA_INPUT!D309="","",DATA_INPUT!D309)</f>
        <v/>
      </c>
      <c r="F886" t="str">
        <f t="shared" si="13"/>
        <v/>
      </c>
      <c r="G886" t="str">
        <f t="shared" si="14"/>
        <v/>
      </c>
    </row>
    <row r="887" spans="1:7">
      <c r="A887" s="10" t="str">
        <f>IF(DATA_INPUT!A310="","",DATA_INPUT!A310)</f>
        <v/>
      </c>
      <c r="B887" t="str">
        <f t="shared" si="12"/>
        <v/>
      </c>
      <c r="C887" t="str">
        <f>IF(DATA_INPUT!B310="","",DATA_INPUT!B310)</f>
        <v/>
      </c>
      <c r="D887" t="str">
        <f>IF(DATA_INPUT!C310="","",DATA_INPUT!C310)</f>
        <v/>
      </c>
      <c r="E887" s="27" t="str">
        <f>IF(DATA_INPUT!D310="","",DATA_INPUT!D310)</f>
        <v/>
      </c>
      <c r="F887" t="str">
        <f t="shared" si="13"/>
        <v/>
      </c>
      <c r="G887" t="str">
        <f t="shared" si="14"/>
        <v/>
      </c>
    </row>
    <row r="888" spans="1:7">
      <c r="A888" s="10" t="str">
        <f>IF(DATA_INPUT!A311="","",DATA_INPUT!A311)</f>
        <v/>
      </c>
      <c r="B888" t="str">
        <f t="shared" si="12"/>
        <v/>
      </c>
      <c r="C888" t="str">
        <f>IF(DATA_INPUT!B311="","",DATA_INPUT!B311)</f>
        <v/>
      </c>
      <c r="D888" t="str">
        <f>IF(DATA_INPUT!C311="","",DATA_INPUT!C311)</f>
        <v/>
      </c>
      <c r="E888" s="27" t="str">
        <f>IF(DATA_INPUT!D311="","",DATA_INPUT!D311)</f>
        <v/>
      </c>
      <c r="F888" t="str">
        <f t="shared" si="13"/>
        <v/>
      </c>
      <c r="G888" t="str">
        <f t="shared" si="14"/>
        <v/>
      </c>
    </row>
    <row r="889" spans="1:7">
      <c r="A889" s="10" t="str">
        <f>IF(DATA_INPUT!A312="","",DATA_INPUT!A312)</f>
        <v/>
      </c>
      <c r="B889" t="str">
        <f t="shared" si="12"/>
        <v/>
      </c>
      <c r="C889" t="str">
        <f>IF(DATA_INPUT!B312="","",DATA_INPUT!B312)</f>
        <v/>
      </c>
      <c r="D889" t="str">
        <f>IF(DATA_INPUT!C312="","",DATA_INPUT!C312)</f>
        <v/>
      </c>
      <c r="E889" s="27" t="str">
        <f>IF(DATA_INPUT!D312="","",DATA_INPUT!D312)</f>
        <v/>
      </c>
      <c r="F889" t="str">
        <f t="shared" si="13"/>
        <v/>
      </c>
      <c r="G889" t="str">
        <f t="shared" si="14"/>
        <v/>
      </c>
    </row>
    <row r="890" spans="1:7">
      <c r="A890" s="10" t="str">
        <f>IF(DATA_INPUT!A313="","",DATA_INPUT!A313)</f>
        <v/>
      </c>
      <c r="B890" t="str">
        <f t="shared" si="12"/>
        <v/>
      </c>
      <c r="C890" t="str">
        <f>IF(DATA_INPUT!B313="","",DATA_INPUT!B313)</f>
        <v/>
      </c>
      <c r="D890" t="str">
        <f>IF(DATA_INPUT!C313="","",DATA_INPUT!C313)</f>
        <v/>
      </c>
      <c r="E890" s="27" t="str">
        <f>IF(DATA_INPUT!D313="","",DATA_INPUT!D313)</f>
        <v/>
      </c>
      <c r="F890" t="str">
        <f t="shared" si="13"/>
        <v/>
      </c>
      <c r="G890" t="str">
        <f t="shared" si="14"/>
        <v/>
      </c>
    </row>
    <row r="891" spans="1:7">
      <c r="A891" s="10" t="str">
        <f>IF(DATA_INPUT!A314="","",DATA_INPUT!A314)</f>
        <v/>
      </c>
      <c r="B891" t="str">
        <f t="shared" si="12"/>
        <v/>
      </c>
      <c r="C891" t="str">
        <f>IF(DATA_INPUT!B314="","",DATA_INPUT!B314)</f>
        <v/>
      </c>
      <c r="D891" t="str">
        <f>IF(DATA_INPUT!C314="","",DATA_INPUT!C314)</f>
        <v/>
      </c>
      <c r="E891" s="27" t="str">
        <f>IF(DATA_INPUT!D314="","",DATA_INPUT!D314)</f>
        <v/>
      </c>
      <c r="F891" t="str">
        <f t="shared" si="13"/>
        <v/>
      </c>
      <c r="G891" t="str">
        <f t="shared" si="14"/>
        <v/>
      </c>
    </row>
    <row r="892" spans="1:7">
      <c r="A892" s="10" t="str">
        <f>IF(DATA_INPUT!A315="","",DATA_INPUT!A315)</f>
        <v/>
      </c>
      <c r="B892" t="str">
        <f t="shared" si="12"/>
        <v/>
      </c>
      <c r="C892" t="str">
        <f>IF(DATA_INPUT!B315="","",DATA_INPUT!B315)</f>
        <v/>
      </c>
      <c r="D892" t="str">
        <f>IF(DATA_INPUT!C315="","",DATA_INPUT!C315)</f>
        <v/>
      </c>
      <c r="E892" s="27" t="str">
        <f>IF(DATA_INPUT!D315="","",DATA_INPUT!D315)</f>
        <v/>
      </c>
      <c r="F892" t="str">
        <f t="shared" si="13"/>
        <v/>
      </c>
      <c r="G892" t="str">
        <f t="shared" si="14"/>
        <v/>
      </c>
    </row>
    <row r="893" spans="1:7">
      <c r="A893" s="10" t="str">
        <f>IF(DATA_INPUT!A316="","",DATA_INPUT!A316)</f>
        <v/>
      </c>
      <c r="B893" t="str">
        <f t="shared" si="12"/>
        <v/>
      </c>
      <c r="C893" t="str">
        <f>IF(DATA_INPUT!B316="","",DATA_INPUT!B316)</f>
        <v/>
      </c>
      <c r="D893" t="str">
        <f>IF(DATA_INPUT!C316="","",DATA_INPUT!C316)</f>
        <v/>
      </c>
      <c r="E893" s="27" t="str">
        <f>IF(DATA_INPUT!D316="","",DATA_INPUT!D316)</f>
        <v/>
      </c>
      <c r="F893" t="str">
        <f t="shared" si="13"/>
        <v/>
      </c>
      <c r="G893" t="str">
        <f t="shared" si="14"/>
        <v/>
      </c>
    </row>
    <row r="894" spans="1:7">
      <c r="A894" s="10" t="str">
        <f>IF(DATA_INPUT!A317="","",DATA_INPUT!A317)</f>
        <v/>
      </c>
      <c r="B894" t="str">
        <f t="shared" si="12"/>
        <v/>
      </c>
      <c r="C894" t="str">
        <f>IF(DATA_INPUT!B317="","",DATA_INPUT!B317)</f>
        <v/>
      </c>
      <c r="D894" t="str">
        <f>IF(DATA_INPUT!C317="","",DATA_INPUT!C317)</f>
        <v/>
      </c>
      <c r="E894" s="27" t="str">
        <f>IF(DATA_INPUT!D317="","",DATA_INPUT!D317)</f>
        <v/>
      </c>
      <c r="F894" t="str">
        <f t="shared" si="13"/>
        <v/>
      </c>
      <c r="G894" t="str">
        <f t="shared" si="14"/>
        <v/>
      </c>
    </row>
    <row r="895" spans="1:7">
      <c r="A895" s="10" t="str">
        <f>IF(DATA_INPUT!A318="","",DATA_INPUT!A318)</f>
        <v/>
      </c>
      <c r="B895" t="str">
        <f t="shared" si="12"/>
        <v/>
      </c>
      <c r="C895" t="str">
        <f>IF(DATA_INPUT!B318="","",DATA_INPUT!B318)</f>
        <v/>
      </c>
      <c r="D895" t="str">
        <f>IF(DATA_INPUT!C318="","",DATA_INPUT!C318)</f>
        <v/>
      </c>
      <c r="E895" s="27" t="str">
        <f>IF(DATA_INPUT!D318="","",DATA_INPUT!D318)</f>
        <v/>
      </c>
      <c r="F895" t="str">
        <f t="shared" si="13"/>
        <v/>
      </c>
      <c r="G895" t="str">
        <f t="shared" si="14"/>
        <v/>
      </c>
    </row>
    <row r="896" spans="1:7">
      <c r="A896" s="10" t="str">
        <f>IF(DATA_INPUT!A319="","",DATA_INPUT!A319)</f>
        <v/>
      </c>
      <c r="B896" t="str">
        <f t="shared" si="12"/>
        <v/>
      </c>
      <c r="C896" t="str">
        <f>IF(DATA_INPUT!B319="","",DATA_INPUT!B319)</f>
        <v/>
      </c>
      <c r="D896" t="str">
        <f>IF(DATA_INPUT!C319="","",DATA_INPUT!C319)</f>
        <v/>
      </c>
      <c r="E896" s="27" t="str">
        <f>IF(DATA_INPUT!D319="","",DATA_INPUT!D319)</f>
        <v/>
      </c>
      <c r="F896" t="str">
        <f t="shared" si="13"/>
        <v/>
      </c>
      <c r="G896" t="str">
        <f t="shared" si="14"/>
        <v/>
      </c>
    </row>
    <row r="897" spans="1:7">
      <c r="A897" s="10" t="str">
        <f>IF(DATA_INPUT!A320="","",DATA_INPUT!A320)</f>
        <v/>
      </c>
      <c r="B897" t="str">
        <f t="shared" si="12"/>
        <v/>
      </c>
      <c r="C897" t="str">
        <f>IF(DATA_INPUT!B320="","",DATA_INPUT!B320)</f>
        <v/>
      </c>
      <c r="D897" t="str">
        <f>IF(DATA_INPUT!C320="","",DATA_INPUT!C320)</f>
        <v/>
      </c>
      <c r="E897" s="27" t="str">
        <f>IF(DATA_INPUT!D320="","",DATA_INPUT!D320)</f>
        <v/>
      </c>
      <c r="F897" t="str">
        <f t="shared" si="13"/>
        <v/>
      </c>
      <c r="G897" t="str">
        <f t="shared" si="14"/>
        <v/>
      </c>
    </row>
    <row r="898" spans="1:7">
      <c r="A898" s="10" t="str">
        <f>IF(DATA_INPUT!A321="","",DATA_INPUT!A321)</f>
        <v/>
      </c>
      <c r="B898" t="str">
        <f t="shared" si="12"/>
        <v/>
      </c>
      <c r="C898" t="str">
        <f>IF(DATA_INPUT!B321="","",DATA_INPUT!B321)</f>
        <v/>
      </c>
      <c r="D898" t="str">
        <f>IF(DATA_INPUT!C321="","",DATA_INPUT!C321)</f>
        <v/>
      </c>
      <c r="E898" s="27" t="str">
        <f>IF(DATA_INPUT!D321="","",DATA_INPUT!D321)</f>
        <v/>
      </c>
      <c r="F898" t="str">
        <f t="shared" si="13"/>
        <v/>
      </c>
      <c r="G898" t="str">
        <f t="shared" si="14"/>
        <v/>
      </c>
    </row>
    <row r="899" spans="1:7">
      <c r="A899" s="10" t="str">
        <f>IF(DATA_INPUT!A322="","",DATA_INPUT!A322)</f>
        <v/>
      </c>
      <c r="B899" t="str">
        <f t="shared" si="12"/>
        <v/>
      </c>
      <c r="C899" t="str">
        <f>IF(DATA_INPUT!B322="","",DATA_INPUT!B322)</f>
        <v/>
      </c>
      <c r="D899" t="str">
        <f>IF(DATA_INPUT!C322="","",DATA_INPUT!C322)</f>
        <v/>
      </c>
      <c r="E899" s="27" t="str">
        <f>IF(DATA_INPUT!D322="","",DATA_INPUT!D322)</f>
        <v/>
      </c>
      <c r="F899" t="str">
        <f t="shared" si="13"/>
        <v/>
      </c>
      <c r="G899" t="str">
        <f t="shared" si="14"/>
        <v/>
      </c>
    </row>
    <row r="900" spans="1:7">
      <c r="A900" s="10" t="str">
        <f>IF(DATA_INPUT!A323="","",DATA_INPUT!A323)</f>
        <v/>
      </c>
      <c r="B900" t="str">
        <f t="shared" ref="B900:B963" si="15">IF(A900="","",TEXT(A900,"dddd"))</f>
        <v/>
      </c>
      <c r="C900" t="str">
        <f>IF(DATA_INPUT!B323="","",DATA_INPUT!B323)</f>
        <v/>
      </c>
      <c r="D900" t="str">
        <f>IF(DATA_INPUT!C323="","",DATA_INPUT!C323)</f>
        <v/>
      </c>
      <c r="E900" s="27" t="str">
        <f>IF(DATA_INPUT!D323="","",DATA_INPUT!D323)</f>
        <v/>
      </c>
      <c r="F900" t="str">
        <f t="shared" ref="F900:F963" si="16">IF(A900="","",TEXT(A900,"mmm yyyy"))</f>
        <v/>
      </c>
      <c r="G900" t="str">
        <f t="shared" ref="G900:G963" si="17">IF(A900="","",WEEKNUM(A900))</f>
        <v/>
      </c>
    </row>
    <row r="901" spans="1:7">
      <c r="A901" s="10" t="str">
        <f>IF(DATA_INPUT!A324="","",DATA_INPUT!A324)</f>
        <v/>
      </c>
      <c r="B901" t="str">
        <f t="shared" si="15"/>
        <v/>
      </c>
      <c r="C901" t="str">
        <f>IF(DATA_INPUT!B324="","",DATA_INPUT!B324)</f>
        <v/>
      </c>
      <c r="D901" t="str">
        <f>IF(DATA_INPUT!C324="","",DATA_INPUT!C324)</f>
        <v/>
      </c>
      <c r="E901" s="27" t="str">
        <f>IF(DATA_INPUT!D324="","",DATA_INPUT!D324)</f>
        <v/>
      </c>
      <c r="F901" t="str">
        <f t="shared" si="16"/>
        <v/>
      </c>
      <c r="G901" t="str">
        <f t="shared" si="17"/>
        <v/>
      </c>
    </row>
    <row r="902" spans="1:7">
      <c r="A902" s="10" t="str">
        <f>IF(DATA_INPUT!A325="","",DATA_INPUT!A325)</f>
        <v/>
      </c>
      <c r="B902" t="str">
        <f t="shared" si="15"/>
        <v/>
      </c>
      <c r="C902" t="str">
        <f>IF(DATA_INPUT!B325="","",DATA_INPUT!B325)</f>
        <v/>
      </c>
      <c r="D902" t="str">
        <f>IF(DATA_INPUT!C325="","",DATA_INPUT!C325)</f>
        <v/>
      </c>
      <c r="E902" s="27" t="str">
        <f>IF(DATA_INPUT!D325="","",DATA_INPUT!D325)</f>
        <v/>
      </c>
      <c r="F902" t="str">
        <f t="shared" si="16"/>
        <v/>
      </c>
      <c r="G902" t="str">
        <f t="shared" si="17"/>
        <v/>
      </c>
    </row>
    <row r="903" spans="1:7">
      <c r="A903" s="10" t="str">
        <f>IF(DATA_INPUT!A326="","",DATA_INPUT!A326)</f>
        <v/>
      </c>
      <c r="B903" t="str">
        <f t="shared" si="15"/>
        <v/>
      </c>
      <c r="C903" t="str">
        <f>IF(DATA_INPUT!B326="","",DATA_INPUT!B326)</f>
        <v/>
      </c>
      <c r="D903" t="str">
        <f>IF(DATA_INPUT!C326="","",DATA_INPUT!C326)</f>
        <v/>
      </c>
      <c r="E903" s="27" t="str">
        <f>IF(DATA_INPUT!D326="","",DATA_INPUT!D326)</f>
        <v/>
      </c>
      <c r="F903" t="str">
        <f t="shared" si="16"/>
        <v/>
      </c>
      <c r="G903" t="str">
        <f t="shared" si="17"/>
        <v/>
      </c>
    </row>
    <row r="904" spans="1:7">
      <c r="A904" s="10" t="str">
        <f>IF(DATA_INPUT!A327="","",DATA_INPUT!A327)</f>
        <v/>
      </c>
      <c r="B904" t="str">
        <f t="shared" si="15"/>
        <v/>
      </c>
      <c r="C904" t="str">
        <f>IF(DATA_INPUT!B327="","",DATA_INPUT!B327)</f>
        <v/>
      </c>
      <c r="D904" t="str">
        <f>IF(DATA_INPUT!C327="","",DATA_INPUT!C327)</f>
        <v/>
      </c>
      <c r="E904" s="27" t="str">
        <f>IF(DATA_INPUT!D327="","",DATA_INPUT!D327)</f>
        <v/>
      </c>
      <c r="F904" t="str">
        <f t="shared" si="16"/>
        <v/>
      </c>
      <c r="G904" t="str">
        <f t="shared" si="17"/>
        <v/>
      </c>
    </row>
    <row r="905" spans="1:7">
      <c r="A905" s="10" t="str">
        <f>IF(DATA_INPUT!A328="","",DATA_INPUT!A328)</f>
        <v/>
      </c>
      <c r="B905" t="str">
        <f t="shared" si="15"/>
        <v/>
      </c>
      <c r="C905" t="str">
        <f>IF(DATA_INPUT!B328="","",DATA_INPUT!B328)</f>
        <v/>
      </c>
      <c r="D905" t="str">
        <f>IF(DATA_INPUT!C328="","",DATA_INPUT!C328)</f>
        <v/>
      </c>
      <c r="E905" s="27" t="str">
        <f>IF(DATA_INPUT!D328="","",DATA_INPUT!D328)</f>
        <v/>
      </c>
      <c r="F905" t="str">
        <f t="shared" si="16"/>
        <v/>
      </c>
      <c r="G905" t="str">
        <f t="shared" si="17"/>
        <v/>
      </c>
    </row>
    <row r="906" spans="1:7">
      <c r="A906" s="10" t="str">
        <f>IF(DATA_INPUT!A329="","",DATA_INPUT!A329)</f>
        <v/>
      </c>
      <c r="B906" t="str">
        <f t="shared" si="15"/>
        <v/>
      </c>
      <c r="C906" t="str">
        <f>IF(DATA_INPUT!B329="","",DATA_INPUT!B329)</f>
        <v/>
      </c>
      <c r="D906" t="str">
        <f>IF(DATA_INPUT!C329="","",DATA_INPUT!C329)</f>
        <v/>
      </c>
      <c r="E906" s="27" t="str">
        <f>IF(DATA_INPUT!D329="","",DATA_INPUT!D329)</f>
        <v/>
      </c>
      <c r="F906" t="str">
        <f t="shared" si="16"/>
        <v/>
      </c>
      <c r="G906" t="str">
        <f t="shared" si="17"/>
        <v/>
      </c>
    </row>
    <row r="907" spans="1:7">
      <c r="A907" s="10" t="str">
        <f>IF(DATA_INPUT!A330="","",DATA_INPUT!A330)</f>
        <v/>
      </c>
      <c r="B907" t="str">
        <f t="shared" si="15"/>
        <v/>
      </c>
      <c r="C907" t="str">
        <f>IF(DATA_INPUT!B330="","",DATA_INPUT!B330)</f>
        <v/>
      </c>
      <c r="D907" t="str">
        <f>IF(DATA_INPUT!C330="","",DATA_INPUT!C330)</f>
        <v/>
      </c>
      <c r="E907" s="27" t="str">
        <f>IF(DATA_INPUT!D330="","",DATA_INPUT!D330)</f>
        <v/>
      </c>
      <c r="F907" t="str">
        <f t="shared" si="16"/>
        <v/>
      </c>
      <c r="G907" t="str">
        <f t="shared" si="17"/>
        <v/>
      </c>
    </row>
    <row r="908" spans="1:7">
      <c r="A908" s="10" t="str">
        <f>IF(DATA_INPUT!A331="","",DATA_INPUT!A331)</f>
        <v/>
      </c>
      <c r="B908" t="str">
        <f t="shared" si="15"/>
        <v/>
      </c>
      <c r="C908" t="str">
        <f>IF(DATA_INPUT!B331="","",DATA_INPUT!B331)</f>
        <v/>
      </c>
      <c r="D908" t="str">
        <f>IF(DATA_INPUT!C331="","",DATA_INPUT!C331)</f>
        <v/>
      </c>
      <c r="E908" s="27" t="str">
        <f>IF(DATA_INPUT!D331="","",DATA_INPUT!D331)</f>
        <v/>
      </c>
      <c r="F908" t="str">
        <f t="shared" si="16"/>
        <v/>
      </c>
      <c r="G908" t="str">
        <f t="shared" si="17"/>
        <v/>
      </c>
    </row>
    <row r="909" spans="1:7">
      <c r="A909" s="10" t="str">
        <f>IF(DATA_INPUT!A332="","",DATA_INPUT!A332)</f>
        <v/>
      </c>
      <c r="B909" t="str">
        <f t="shared" si="15"/>
        <v/>
      </c>
      <c r="C909" t="str">
        <f>IF(DATA_INPUT!B332="","",DATA_INPUT!B332)</f>
        <v/>
      </c>
      <c r="D909" t="str">
        <f>IF(DATA_INPUT!C332="","",DATA_INPUT!C332)</f>
        <v/>
      </c>
      <c r="E909" s="27" t="str">
        <f>IF(DATA_INPUT!D332="","",DATA_INPUT!D332)</f>
        <v/>
      </c>
      <c r="F909" t="str">
        <f t="shared" si="16"/>
        <v/>
      </c>
      <c r="G909" t="str">
        <f t="shared" si="17"/>
        <v/>
      </c>
    </row>
    <row r="910" spans="1:7">
      <c r="A910" s="10" t="str">
        <f>IF(DATA_INPUT!A333="","",DATA_INPUT!A333)</f>
        <v/>
      </c>
      <c r="B910" t="str">
        <f t="shared" si="15"/>
        <v/>
      </c>
      <c r="C910" t="str">
        <f>IF(DATA_INPUT!B333="","",DATA_INPUT!B333)</f>
        <v/>
      </c>
      <c r="D910" t="str">
        <f>IF(DATA_INPUT!C333="","",DATA_INPUT!C333)</f>
        <v/>
      </c>
      <c r="E910" s="27" t="str">
        <f>IF(DATA_INPUT!D333="","",DATA_INPUT!D333)</f>
        <v/>
      </c>
      <c r="F910" t="str">
        <f t="shared" si="16"/>
        <v/>
      </c>
      <c r="G910" t="str">
        <f t="shared" si="17"/>
        <v/>
      </c>
    </row>
    <row r="911" spans="1:7">
      <c r="A911" s="10" t="str">
        <f>IF(DATA_INPUT!A334="","",DATA_INPUT!A334)</f>
        <v/>
      </c>
      <c r="B911" t="str">
        <f t="shared" si="15"/>
        <v/>
      </c>
      <c r="C911" t="str">
        <f>IF(DATA_INPUT!B334="","",DATA_INPUT!B334)</f>
        <v/>
      </c>
      <c r="D911" t="str">
        <f>IF(DATA_INPUT!C334="","",DATA_INPUT!C334)</f>
        <v/>
      </c>
      <c r="E911" s="27" t="str">
        <f>IF(DATA_INPUT!D334="","",DATA_INPUT!D334)</f>
        <v/>
      </c>
      <c r="F911" t="str">
        <f t="shared" si="16"/>
        <v/>
      </c>
      <c r="G911" t="str">
        <f t="shared" si="17"/>
        <v/>
      </c>
    </row>
    <row r="912" spans="1:7">
      <c r="A912" s="10" t="str">
        <f>IF(DATA_INPUT!A335="","",DATA_INPUT!A335)</f>
        <v/>
      </c>
      <c r="B912" t="str">
        <f t="shared" si="15"/>
        <v/>
      </c>
      <c r="C912" t="str">
        <f>IF(DATA_INPUT!B335="","",DATA_INPUT!B335)</f>
        <v/>
      </c>
      <c r="D912" t="str">
        <f>IF(DATA_INPUT!C335="","",DATA_INPUT!C335)</f>
        <v/>
      </c>
      <c r="E912" s="27" t="str">
        <f>IF(DATA_INPUT!D335="","",DATA_INPUT!D335)</f>
        <v/>
      </c>
      <c r="F912" t="str">
        <f t="shared" si="16"/>
        <v/>
      </c>
      <c r="G912" t="str">
        <f t="shared" si="17"/>
        <v/>
      </c>
    </row>
    <row r="913" spans="1:7">
      <c r="A913" s="10" t="str">
        <f>IF(DATA_INPUT!A336="","",DATA_INPUT!A336)</f>
        <v/>
      </c>
      <c r="B913" t="str">
        <f t="shared" si="15"/>
        <v/>
      </c>
      <c r="C913" t="str">
        <f>IF(DATA_INPUT!B336="","",DATA_INPUT!B336)</f>
        <v/>
      </c>
      <c r="D913" t="str">
        <f>IF(DATA_INPUT!C336="","",DATA_INPUT!C336)</f>
        <v/>
      </c>
      <c r="E913" s="27" t="str">
        <f>IF(DATA_INPUT!D336="","",DATA_INPUT!D336)</f>
        <v/>
      </c>
      <c r="F913" t="str">
        <f t="shared" si="16"/>
        <v/>
      </c>
      <c r="G913" t="str">
        <f t="shared" si="17"/>
        <v/>
      </c>
    </row>
    <row r="914" spans="1:7">
      <c r="A914" s="10" t="str">
        <f>IF(DATA_INPUT!A337="","",DATA_INPUT!A337)</f>
        <v/>
      </c>
      <c r="B914" t="str">
        <f t="shared" si="15"/>
        <v/>
      </c>
      <c r="C914" t="str">
        <f>IF(DATA_INPUT!B337="","",DATA_INPUT!B337)</f>
        <v/>
      </c>
      <c r="D914" t="str">
        <f>IF(DATA_INPUT!C337="","",DATA_INPUT!C337)</f>
        <v/>
      </c>
      <c r="E914" s="27" t="str">
        <f>IF(DATA_INPUT!D337="","",DATA_INPUT!D337)</f>
        <v/>
      </c>
      <c r="F914" t="str">
        <f t="shared" si="16"/>
        <v/>
      </c>
      <c r="G914" t="str">
        <f t="shared" si="17"/>
        <v/>
      </c>
    </row>
    <row r="915" spans="1:7">
      <c r="A915" s="10" t="str">
        <f>IF(DATA_INPUT!A338="","",DATA_INPUT!A338)</f>
        <v/>
      </c>
      <c r="B915" t="str">
        <f t="shared" si="15"/>
        <v/>
      </c>
      <c r="C915" t="str">
        <f>IF(DATA_INPUT!B338="","",DATA_INPUT!B338)</f>
        <v/>
      </c>
      <c r="D915" t="str">
        <f>IF(DATA_INPUT!C338="","",DATA_INPUT!C338)</f>
        <v/>
      </c>
      <c r="E915" s="27" t="str">
        <f>IF(DATA_INPUT!D338="","",DATA_INPUT!D338)</f>
        <v/>
      </c>
      <c r="F915" t="str">
        <f t="shared" si="16"/>
        <v/>
      </c>
      <c r="G915" t="str">
        <f t="shared" si="17"/>
        <v/>
      </c>
    </row>
    <row r="916" spans="1:7">
      <c r="A916" s="10" t="str">
        <f>IF(DATA_INPUT!A339="","",DATA_INPUT!A339)</f>
        <v/>
      </c>
      <c r="B916" t="str">
        <f t="shared" si="15"/>
        <v/>
      </c>
      <c r="C916" t="str">
        <f>IF(DATA_INPUT!B339="","",DATA_INPUT!B339)</f>
        <v/>
      </c>
      <c r="D916" t="str">
        <f>IF(DATA_INPUT!C339="","",DATA_INPUT!C339)</f>
        <v/>
      </c>
      <c r="E916" s="27" t="str">
        <f>IF(DATA_INPUT!D339="","",DATA_INPUT!D339)</f>
        <v/>
      </c>
      <c r="F916" t="str">
        <f t="shared" si="16"/>
        <v/>
      </c>
      <c r="G916" t="str">
        <f t="shared" si="17"/>
        <v/>
      </c>
    </row>
    <row r="917" spans="1:7">
      <c r="A917" s="10" t="str">
        <f>IF(DATA_INPUT!A340="","",DATA_INPUT!A340)</f>
        <v/>
      </c>
      <c r="B917" t="str">
        <f t="shared" si="15"/>
        <v/>
      </c>
      <c r="C917" t="str">
        <f>IF(DATA_INPUT!B340="","",DATA_INPUT!B340)</f>
        <v/>
      </c>
      <c r="D917" t="str">
        <f>IF(DATA_INPUT!C340="","",DATA_INPUT!C340)</f>
        <v/>
      </c>
      <c r="E917" s="27" t="str">
        <f>IF(DATA_INPUT!D340="","",DATA_INPUT!D340)</f>
        <v/>
      </c>
      <c r="F917" t="str">
        <f t="shared" si="16"/>
        <v/>
      </c>
      <c r="G917" t="str">
        <f t="shared" si="17"/>
        <v/>
      </c>
    </row>
    <row r="918" spans="1:7">
      <c r="A918" s="10" t="str">
        <f>IF(DATA_INPUT!A341="","",DATA_INPUT!A341)</f>
        <v/>
      </c>
      <c r="B918" t="str">
        <f t="shared" si="15"/>
        <v/>
      </c>
      <c r="C918" t="str">
        <f>IF(DATA_INPUT!B341="","",DATA_INPUT!B341)</f>
        <v/>
      </c>
      <c r="D918" t="str">
        <f>IF(DATA_INPUT!C341="","",DATA_INPUT!C341)</f>
        <v/>
      </c>
      <c r="E918" s="27" t="str">
        <f>IF(DATA_INPUT!D341="","",DATA_INPUT!D341)</f>
        <v/>
      </c>
      <c r="F918" t="str">
        <f t="shared" si="16"/>
        <v/>
      </c>
      <c r="G918" t="str">
        <f t="shared" si="17"/>
        <v/>
      </c>
    </row>
    <row r="919" spans="1:7">
      <c r="A919" s="10" t="str">
        <f>IF(DATA_INPUT!A342="","",DATA_INPUT!A342)</f>
        <v/>
      </c>
      <c r="B919" t="str">
        <f t="shared" si="15"/>
        <v/>
      </c>
      <c r="C919" t="str">
        <f>IF(DATA_INPUT!B342="","",DATA_INPUT!B342)</f>
        <v/>
      </c>
      <c r="D919" t="str">
        <f>IF(DATA_INPUT!C342="","",DATA_INPUT!C342)</f>
        <v/>
      </c>
      <c r="E919" s="27" t="str">
        <f>IF(DATA_INPUT!D342="","",DATA_INPUT!D342)</f>
        <v/>
      </c>
      <c r="F919" t="str">
        <f t="shared" si="16"/>
        <v/>
      </c>
      <c r="G919" t="str">
        <f t="shared" si="17"/>
        <v/>
      </c>
    </row>
    <row r="920" spans="1:7">
      <c r="A920" s="10" t="str">
        <f>IF(DATA_INPUT!A343="","",DATA_INPUT!A343)</f>
        <v/>
      </c>
      <c r="B920" t="str">
        <f t="shared" si="15"/>
        <v/>
      </c>
      <c r="C920" t="str">
        <f>IF(DATA_INPUT!B343="","",DATA_INPUT!B343)</f>
        <v/>
      </c>
      <c r="D920" t="str">
        <f>IF(DATA_INPUT!C343="","",DATA_INPUT!C343)</f>
        <v/>
      </c>
      <c r="E920" s="27" t="str">
        <f>IF(DATA_INPUT!D343="","",DATA_INPUT!D343)</f>
        <v/>
      </c>
      <c r="F920" t="str">
        <f t="shared" si="16"/>
        <v/>
      </c>
      <c r="G920" t="str">
        <f t="shared" si="17"/>
        <v/>
      </c>
    </row>
    <row r="921" spans="1:7">
      <c r="A921" s="10" t="str">
        <f>IF(DATA_INPUT!A344="","",DATA_INPUT!A344)</f>
        <v/>
      </c>
      <c r="B921" t="str">
        <f t="shared" si="15"/>
        <v/>
      </c>
      <c r="C921" t="str">
        <f>IF(DATA_INPUT!B344="","",DATA_INPUT!B344)</f>
        <v/>
      </c>
      <c r="D921" t="str">
        <f>IF(DATA_INPUT!C344="","",DATA_INPUT!C344)</f>
        <v/>
      </c>
      <c r="E921" s="27" t="str">
        <f>IF(DATA_INPUT!D344="","",DATA_INPUT!D344)</f>
        <v/>
      </c>
      <c r="F921" t="str">
        <f t="shared" si="16"/>
        <v/>
      </c>
      <c r="G921" t="str">
        <f t="shared" si="17"/>
        <v/>
      </c>
    </row>
    <row r="922" spans="1:7">
      <c r="A922" s="10" t="str">
        <f>IF(DATA_INPUT!A345="","",DATA_INPUT!A345)</f>
        <v/>
      </c>
      <c r="B922" t="str">
        <f t="shared" si="15"/>
        <v/>
      </c>
      <c r="C922" t="str">
        <f>IF(DATA_INPUT!B345="","",DATA_INPUT!B345)</f>
        <v/>
      </c>
      <c r="D922" t="str">
        <f>IF(DATA_INPUT!C345="","",DATA_INPUT!C345)</f>
        <v/>
      </c>
      <c r="E922" s="27" t="str">
        <f>IF(DATA_INPUT!D345="","",DATA_INPUT!D345)</f>
        <v/>
      </c>
      <c r="F922" t="str">
        <f t="shared" si="16"/>
        <v/>
      </c>
      <c r="G922" t="str">
        <f t="shared" si="17"/>
        <v/>
      </c>
    </row>
    <row r="923" spans="1:7">
      <c r="A923" s="10" t="str">
        <f>IF(DATA_INPUT!A346="","",DATA_INPUT!A346)</f>
        <v/>
      </c>
      <c r="B923" t="str">
        <f t="shared" si="15"/>
        <v/>
      </c>
      <c r="C923" t="str">
        <f>IF(DATA_INPUT!B346="","",DATA_INPUT!B346)</f>
        <v/>
      </c>
      <c r="D923" t="str">
        <f>IF(DATA_INPUT!C346="","",DATA_INPUT!C346)</f>
        <v/>
      </c>
      <c r="E923" s="27" t="str">
        <f>IF(DATA_INPUT!D346="","",DATA_INPUT!D346)</f>
        <v/>
      </c>
      <c r="F923" t="str">
        <f t="shared" si="16"/>
        <v/>
      </c>
      <c r="G923" t="str">
        <f t="shared" si="17"/>
        <v/>
      </c>
    </row>
    <row r="924" spans="1:7">
      <c r="A924" s="10" t="str">
        <f>IF(DATA_INPUT!A347="","",DATA_INPUT!A347)</f>
        <v/>
      </c>
      <c r="B924" t="str">
        <f t="shared" si="15"/>
        <v/>
      </c>
      <c r="C924" t="str">
        <f>IF(DATA_INPUT!B347="","",DATA_INPUT!B347)</f>
        <v/>
      </c>
      <c r="D924" t="str">
        <f>IF(DATA_INPUT!C347="","",DATA_INPUT!C347)</f>
        <v/>
      </c>
      <c r="E924" s="27" t="str">
        <f>IF(DATA_INPUT!D347="","",DATA_INPUT!D347)</f>
        <v/>
      </c>
      <c r="F924" t="str">
        <f t="shared" si="16"/>
        <v/>
      </c>
      <c r="G924" t="str">
        <f t="shared" si="17"/>
        <v/>
      </c>
    </row>
    <row r="925" spans="1:7">
      <c r="A925" s="10" t="str">
        <f>IF(DATA_INPUT!A348="","",DATA_INPUT!A348)</f>
        <v/>
      </c>
      <c r="B925" t="str">
        <f t="shared" si="15"/>
        <v/>
      </c>
      <c r="C925" t="str">
        <f>IF(DATA_INPUT!B348="","",DATA_INPUT!B348)</f>
        <v/>
      </c>
      <c r="D925" t="str">
        <f>IF(DATA_INPUT!C348="","",DATA_INPUT!C348)</f>
        <v/>
      </c>
      <c r="E925" s="27" t="str">
        <f>IF(DATA_INPUT!D348="","",DATA_INPUT!D348)</f>
        <v/>
      </c>
      <c r="F925" t="str">
        <f t="shared" si="16"/>
        <v/>
      </c>
      <c r="G925" t="str">
        <f t="shared" si="17"/>
        <v/>
      </c>
    </row>
    <row r="926" spans="1:7">
      <c r="A926" s="10" t="str">
        <f>IF(DATA_INPUT!A349="","",DATA_INPUT!A349)</f>
        <v/>
      </c>
      <c r="B926" t="str">
        <f t="shared" si="15"/>
        <v/>
      </c>
      <c r="C926" t="str">
        <f>IF(DATA_INPUT!B349="","",DATA_INPUT!B349)</f>
        <v/>
      </c>
      <c r="D926" t="str">
        <f>IF(DATA_INPUT!C349="","",DATA_INPUT!C349)</f>
        <v/>
      </c>
      <c r="E926" s="27" t="str">
        <f>IF(DATA_INPUT!D349="","",DATA_INPUT!D349)</f>
        <v/>
      </c>
      <c r="F926" t="str">
        <f t="shared" si="16"/>
        <v/>
      </c>
      <c r="G926" t="str">
        <f t="shared" si="17"/>
        <v/>
      </c>
    </row>
    <row r="927" spans="1:7">
      <c r="A927" s="10" t="str">
        <f>IF(DATA_INPUT!A350="","",DATA_INPUT!A350)</f>
        <v/>
      </c>
      <c r="B927" t="str">
        <f t="shared" si="15"/>
        <v/>
      </c>
      <c r="C927" t="str">
        <f>IF(DATA_INPUT!B350="","",DATA_INPUT!B350)</f>
        <v/>
      </c>
      <c r="D927" t="str">
        <f>IF(DATA_INPUT!C350="","",DATA_INPUT!C350)</f>
        <v/>
      </c>
      <c r="E927" s="27" t="str">
        <f>IF(DATA_INPUT!D350="","",DATA_INPUT!D350)</f>
        <v/>
      </c>
      <c r="F927" t="str">
        <f t="shared" si="16"/>
        <v/>
      </c>
      <c r="G927" t="str">
        <f t="shared" si="17"/>
        <v/>
      </c>
    </row>
    <row r="928" spans="1:7">
      <c r="A928" s="10" t="str">
        <f>IF(DATA_INPUT!A351="","",DATA_INPUT!A351)</f>
        <v/>
      </c>
      <c r="B928" t="str">
        <f t="shared" si="15"/>
        <v/>
      </c>
      <c r="C928" t="str">
        <f>IF(DATA_INPUT!B351="","",DATA_INPUT!B351)</f>
        <v/>
      </c>
      <c r="D928" t="str">
        <f>IF(DATA_INPUT!C351="","",DATA_INPUT!C351)</f>
        <v/>
      </c>
      <c r="E928" s="27" t="str">
        <f>IF(DATA_INPUT!D351="","",DATA_INPUT!D351)</f>
        <v/>
      </c>
      <c r="F928" t="str">
        <f t="shared" si="16"/>
        <v/>
      </c>
      <c r="G928" t="str">
        <f t="shared" si="17"/>
        <v/>
      </c>
    </row>
    <row r="929" spans="1:7">
      <c r="A929" s="10" t="str">
        <f>IF(DATA_INPUT!A352="","",DATA_INPUT!A352)</f>
        <v/>
      </c>
      <c r="B929" t="str">
        <f t="shared" si="15"/>
        <v/>
      </c>
      <c r="C929" t="str">
        <f>IF(DATA_INPUT!B352="","",DATA_INPUT!B352)</f>
        <v/>
      </c>
      <c r="D929" t="str">
        <f>IF(DATA_INPUT!C352="","",DATA_INPUT!C352)</f>
        <v/>
      </c>
      <c r="E929" s="27" t="str">
        <f>IF(DATA_INPUT!D352="","",DATA_INPUT!D352)</f>
        <v/>
      </c>
      <c r="F929" t="str">
        <f t="shared" si="16"/>
        <v/>
      </c>
      <c r="G929" t="str">
        <f t="shared" si="17"/>
        <v/>
      </c>
    </row>
    <row r="930" spans="1:7">
      <c r="A930" s="10" t="str">
        <f>IF(DATA_INPUT!A353="","",DATA_INPUT!A353)</f>
        <v/>
      </c>
      <c r="B930" t="str">
        <f t="shared" si="15"/>
        <v/>
      </c>
      <c r="C930" t="str">
        <f>IF(DATA_INPUT!B353="","",DATA_INPUT!B353)</f>
        <v/>
      </c>
      <c r="D930" t="str">
        <f>IF(DATA_INPUT!C353="","",DATA_INPUT!C353)</f>
        <v/>
      </c>
      <c r="E930" s="27" t="str">
        <f>IF(DATA_INPUT!D353="","",DATA_INPUT!D353)</f>
        <v/>
      </c>
      <c r="F930" t="str">
        <f t="shared" si="16"/>
        <v/>
      </c>
      <c r="G930" t="str">
        <f t="shared" si="17"/>
        <v/>
      </c>
    </row>
    <row r="931" spans="1:7">
      <c r="A931" s="10" t="str">
        <f>IF(DATA_INPUT!A354="","",DATA_INPUT!A354)</f>
        <v/>
      </c>
      <c r="B931" t="str">
        <f t="shared" si="15"/>
        <v/>
      </c>
      <c r="C931" t="str">
        <f>IF(DATA_INPUT!B354="","",DATA_INPUT!B354)</f>
        <v/>
      </c>
      <c r="D931" t="str">
        <f>IF(DATA_INPUT!C354="","",DATA_INPUT!C354)</f>
        <v/>
      </c>
      <c r="E931" s="27" t="str">
        <f>IF(DATA_INPUT!D354="","",DATA_INPUT!D354)</f>
        <v/>
      </c>
      <c r="F931" t="str">
        <f t="shared" si="16"/>
        <v/>
      </c>
      <c r="G931" t="str">
        <f t="shared" si="17"/>
        <v/>
      </c>
    </row>
    <row r="932" spans="1:7">
      <c r="A932" s="10" t="str">
        <f>IF(DATA_INPUT!A355="","",DATA_INPUT!A355)</f>
        <v/>
      </c>
      <c r="B932" t="str">
        <f t="shared" si="15"/>
        <v/>
      </c>
      <c r="C932" t="str">
        <f>IF(DATA_INPUT!B355="","",DATA_INPUT!B355)</f>
        <v/>
      </c>
      <c r="D932" t="str">
        <f>IF(DATA_INPUT!C355="","",DATA_INPUT!C355)</f>
        <v/>
      </c>
      <c r="E932" s="27" t="str">
        <f>IF(DATA_INPUT!D355="","",DATA_INPUT!D355)</f>
        <v/>
      </c>
      <c r="F932" t="str">
        <f t="shared" si="16"/>
        <v/>
      </c>
      <c r="G932" t="str">
        <f t="shared" si="17"/>
        <v/>
      </c>
    </row>
    <row r="933" spans="1:7">
      <c r="A933" s="10" t="str">
        <f>IF(DATA_INPUT!A356="","",DATA_INPUT!A356)</f>
        <v/>
      </c>
      <c r="B933" t="str">
        <f t="shared" si="15"/>
        <v/>
      </c>
      <c r="C933" t="str">
        <f>IF(DATA_INPUT!B356="","",DATA_INPUT!B356)</f>
        <v/>
      </c>
      <c r="D933" t="str">
        <f>IF(DATA_INPUT!C356="","",DATA_INPUT!C356)</f>
        <v/>
      </c>
      <c r="E933" s="27" t="str">
        <f>IF(DATA_INPUT!D356="","",DATA_INPUT!D356)</f>
        <v/>
      </c>
      <c r="F933" t="str">
        <f t="shared" si="16"/>
        <v/>
      </c>
      <c r="G933" t="str">
        <f t="shared" si="17"/>
        <v/>
      </c>
    </row>
    <row r="934" spans="1:7">
      <c r="A934" s="10" t="str">
        <f>IF(DATA_INPUT!A357="","",DATA_INPUT!A357)</f>
        <v/>
      </c>
      <c r="B934" t="str">
        <f t="shared" si="15"/>
        <v/>
      </c>
      <c r="C934" t="str">
        <f>IF(DATA_INPUT!B357="","",DATA_INPUT!B357)</f>
        <v/>
      </c>
      <c r="D934" t="str">
        <f>IF(DATA_INPUT!C357="","",DATA_INPUT!C357)</f>
        <v/>
      </c>
      <c r="E934" s="27" t="str">
        <f>IF(DATA_INPUT!D357="","",DATA_INPUT!D357)</f>
        <v/>
      </c>
      <c r="F934" t="str">
        <f t="shared" si="16"/>
        <v/>
      </c>
      <c r="G934" t="str">
        <f t="shared" si="17"/>
        <v/>
      </c>
    </row>
    <row r="935" spans="1:7">
      <c r="A935" s="10" t="str">
        <f>IF(DATA_INPUT!A358="","",DATA_INPUT!A358)</f>
        <v/>
      </c>
      <c r="B935" t="str">
        <f t="shared" si="15"/>
        <v/>
      </c>
      <c r="C935" t="str">
        <f>IF(DATA_INPUT!B358="","",DATA_INPUT!B358)</f>
        <v/>
      </c>
      <c r="D935" t="str">
        <f>IF(DATA_INPUT!C358="","",DATA_INPUT!C358)</f>
        <v/>
      </c>
      <c r="E935" s="27" t="str">
        <f>IF(DATA_INPUT!D358="","",DATA_INPUT!D358)</f>
        <v/>
      </c>
      <c r="F935" t="str">
        <f t="shared" si="16"/>
        <v/>
      </c>
      <c r="G935" t="str">
        <f t="shared" si="17"/>
        <v/>
      </c>
    </row>
    <row r="936" spans="1:7">
      <c r="A936" s="10" t="str">
        <f>IF(DATA_INPUT!A359="","",DATA_INPUT!A359)</f>
        <v/>
      </c>
      <c r="B936" t="str">
        <f t="shared" si="15"/>
        <v/>
      </c>
      <c r="C936" t="str">
        <f>IF(DATA_INPUT!B359="","",DATA_INPUT!B359)</f>
        <v/>
      </c>
      <c r="D936" t="str">
        <f>IF(DATA_INPUT!C359="","",DATA_INPUT!C359)</f>
        <v/>
      </c>
      <c r="E936" s="27" t="str">
        <f>IF(DATA_INPUT!D359="","",DATA_INPUT!D359)</f>
        <v/>
      </c>
      <c r="F936" t="str">
        <f t="shared" si="16"/>
        <v/>
      </c>
      <c r="G936" t="str">
        <f t="shared" si="17"/>
        <v/>
      </c>
    </row>
    <row r="937" spans="1:7">
      <c r="A937" s="10" t="str">
        <f>IF(DATA_INPUT!A360="","",DATA_INPUT!A360)</f>
        <v/>
      </c>
      <c r="B937" t="str">
        <f t="shared" si="15"/>
        <v/>
      </c>
      <c r="C937" t="str">
        <f>IF(DATA_INPUT!B360="","",DATA_INPUT!B360)</f>
        <v/>
      </c>
      <c r="D937" t="str">
        <f>IF(DATA_INPUT!C360="","",DATA_INPUT!C360)</f>
        <v/>
      </c>
      <c r="E937" s="27" t="str">
        <f>IF(DATA_INPUT!D360="","",DATA_INPUT!D360)</f>
        <v/>
      </c>
      <c r="F937" t="str">
        <f t="shared" si="16"/>
        <v/>
      </c>
      <c r="G937" t="str">
        <f t="shared" si="17"/>
        <v/>
      </c>
    </row>
    <row r="938" spans="1:7">
      <c r="A938" s="10" t="str">
        <f>IF(DATA_INPUT!A361="","",DATA_INPUT!A361)</f>
        <v/>
      </c>
      <c r="B938" t="str">
        <f t="shared" si="15"/>
        <v/>
      </c>
      <c r="C938" t="str">
        <f>IF(DATA_INPUT!B361="","",DATA_INPUT!B361)</f>
        <v/>
      </c>
      <c r="D938" t="str">
        <f>IF(DATA_INPUT!C361="","",DATA_INPUT!C361)</f>
        <v/>
      </c>
      <c r="E938" s="27" t="str">
        <f>IF(DATA_INPUT!D361="","",DATA_INPUT!D361)</f>
        <v/>
      </c>
      <c r="F938" t="str">
        <f t="shared" si="16"/>
        <v/>
      </c>
      <c r="G938" t="str">
        <f t="shared" si="17"/>
        <v/>
      </c>
    </row>
    <row r="939" spans="1:7">
      <c r="A939" s="10" t="str">
        <f>IF(DATA_INPUT!A362="","",DATA_INPUT!A362)</f>
        <v/>
      </c>
      <c r="B939" t="str">
        <f t="shared" si="15"/>
        <v/>
      </c>
      <c r="C939" t="str">
        <f>IF(DATA_INPUT!B362="","",DATA_INPUT!B362)</f>
        <v/>
      </c>
      <c r="D939" t="str">
        <f>IF(DATA_INPUT!C362="","",DATA_INPUT!C362)</f>
        <v/>
      </c>
      <c r="E939" s="27" t="str">
        <f>IF(DATA_INPUT!D362="","",DATA_INPUT!D362)</f>
        <v/>
      </c>
      <c r="F939" t="str">
        <f t="shared" si="16"/>
        <v/>
      </c>
      <c r="G939" t="str">
        <f t="shared" si="17"/>
        <v/>
      </c>
    </row>
    <row r="940" spans="1:7">
      <c r="A940" s="10" t="str">
        <f>IF(DATA_INPUT!A363="","",DATA_INPUT!A363)</f>
        <v/>
      </c>
      <c r="B940" t="str">
        <f t="shared" si="15"/>
        <v/>
      </c>
      <c r="C940" t="str">
        <f>IF(DATA_INPUT!B363="","",DATA_INPUT!B363)</f>
        <v/>
      </c>
      <c r="D940" t="str">
        <f>IF(DATA_INPUT!C363="","",DATA_INPUT!C363)</f>
        <v/>
      </c>
      <c r="E940" s="27" t="str">
        <f>IF(DATA_INPUT!D363="","",DATA_INPUT!D363)</f>
        <v/>
      </c>
      <c r="F940" t="str">
        <f t="shared" si="16"/>
        <v/>
      </c>
      <c r="G940" t="str">
        <f t="shared" si="17"/>
        <v/>
      </c>
    </row>
    <row r="941" spans="1:7">
      <c r="A941" s="10" t="str">
        <f>IF(DATA_INPUT!A364="","",DATA_INPUT!A364)</f>
        <v/>
      </c>
      <c r="B941" t="str">
        <f t="shared" si="15"/>
        <v/>
      </c>
      <c r="C941" t="str">
        <f>IF(DATA_INPUT!B364="","",DATA_INPUT!B364)</f>
        <v/>
      </c>
      <c r="D941" t="str">
        <f>IF(DATA_INPUT!C364="","",DATA_INPUT!C364)</f>
        <v/>
      </c>
      <c r="E941" s="27" t="str">
        <f>IF(DATA_INPUT!D364="","",DATA_INPUT!D364)</f>
        <v/>
      </c>
      <c r="F941" t="str">
        <f t="shared" si="16"/>
        <v/>
      </c>
      <c r="G941" t="str">
        <f t="shared" si="17"/>
        <v/>
      </c>
    </row>
    <row r="942" spans="1:7">
      <c r="A942" s="10" t="str">
        <f>IF(DATA_INPUT!A365="","",DATA_INPUT!A365)</f>
        <v/>
      </c>
      <c r="B942" t="str">
        <f t="shared" si="15"/>
        <v/>
      </c>
      <c r="C942" t="str">
        <f>IF(DATA_INPUT!B365="","",DATA_INPUT!B365)</f>
        <v/>
      </c>
      <c r="D942" t="str">
        <f>IF(DATA_INPUT!C365="","",DATA_INPUT!C365)</f>
        <v/>
      </c>
      <c r="E942" s="27" t="str">
        <f>IF(DATA_INPUT!D365="","",DATA_INPUT!D365)</f>
        <v/>
      </c>
      <c r="F942" t="str">
        <f t="shared" si="16"/>
        <v/>
      </c>
      <c r="G942" t="str">
        <f t="shared" si="17"/>
        <v/>
      </c>
    </row>
    <row r="943" spans="1:7">
      <c r="A943" s="10" t="str">
        <f>IF(DATA_INPUT!A366="","",DATA_INPUT!A366)</f>
        <v/>
      </c>
      <c r="B943" t="str">
        <f t="shared" si="15"/>
        <v/>
      </c>
      <c r="C943" t="str">
        <f>IF(DATA_INPUT!B366="","",DATA_INPUT!B366)</f>
        <v/>
      </c>
      <c r="D943" t="str">
        <f>IF(DATA_INPUT!C366="","",DATA_INPUT!C366)</f>
        <v/>
      </c>
      <c r="E943" s="27" t="str">
        <f>IF(DATA_INPUT!D366="","",DATA_INPUT!D366)</f>
        <v/>
      </c>
      <c r="F943" t="str">
        <f t="shared" si="16"/>
        <v/>
      </c>
      <c r="G943" t="str">
        <f t="shared" si="17"/>
        <v/>
      </c>
    </row>
    <row r="944" spans="1:7">
      <c r="A944" s="10" t="str">
        <f>IF(DATA_INPUT!A367="","",DATA_INPUT!A367)</f>
        <v/>
      </c>
      <c r="B944" t="str">
        <f t="shared" si="15"/>
        <v/>
      </c>
      <c r="C944" t="str">
        <f>IF(DATA_INPUT!B367="","",DATA_INPUT!B367)</f>
        <v/>
      </c>
      <c r="D944" t="str">
        <f>IF(DATA_INPUT!C367="","",DATA_INPUT!C367)</f>
        <v/>
      </c>
      <c r="E944" s="27" t="str">
        <f>IF(DATA_INPUT!D367="","",DATA_INPUT!D367)</f>
        <v/>
      </c>
      <c r="F944" t="str">
        <f t="shared" si="16"/>
        <v/>
      </c>
      <c r="G944" t="str">
        <f t="shared" si="17"/>
        <v/>
      </c>
    </row>
    <row r="945" spans="1:7">
      <c r="A945" s="10" t="str">
        <f>IF(DATA_INPUT!A368="","",DATA_INPUT!A368)</f>
        <v/>
      </c>
      <c r="B945" t="str">
        <f t="shared" si="15"/>
        <v/>
      </c>
      <c r="C945" t="str">
        <f>IF(DATA_INPUT!B368="","",DATA_INPUT!B368)</f>
        <v/>
      </c>
      <c r="D945" t="str">
        <f>IF(DATA_INPUT!C368="","",DATA_INPUT!C368)</f>
        <v/>
      </c>
      <c r="E945" s="27" t="str">
        <f>IF(DATA_INPUT!D368="","",DATA_INPUT!D368)</f>
        <v/>
      </c>
      <c r="F945" t="str">
        <f t="shared" si="16"/>
        <v/>
      </c>
      <c r="G945" t="str">
        <f t="shared" si="17"/>
        <v/>
      </c>
    </row>
    <row r="946" spans="1:7">
      <c r="A946" s="10" t="str">
        <f>IF(DATA_INPUT!A369="","",DATA_INPUT!A369)</f>
        <v/>
      </c>
      <c r="B946" t="str">
        <f t="shared" si="15"/>
        <v/>
      </c>
      <c r="C946" t="str">
        <f>IF(DATA_INPUT!B369="","",DATA_INPUT!B369)</f>
        <v/>
      </c>
      <c r="D946" t="str">
        <f>IF(DATA_INPUT!C369="","",DATA_INPUT!C369)</f>
        <v/>
      </c>
      <c r="E946" s="27" t="str">
        <f>IF(DATA_INPUT!D369="","",DATA_INPUT!D369)</f>
        <v/>
      </c>
      <c r="F946" t="str">
        <f t="shared" si="16"/>
        <v/>
      </c>
      <c r="G946" t="str">
        <f t="shared" si="17"/>
        <v/>
      </c>
    </row>
    <row r="947" spans="1:7">
      <c r="A947" s="10" t="str">
        <f>IF(DATA_INPUT!A370="","",DATA_INPUT!A370)</f>
        <v/>
      </c>
      <c r="B947" t="str">
        <f t="shared" si="15"/>
        <v/>
      </c>
      <c r="C947" t="str">
        <f>IF(DATA_INPUT!B370="","",DATA_INPUT!B370)</f>
        <v/>
      </c>
      <c r="D947" t="str">
        <f>IF(DATA_INPUT!C370="","",DATA_INPUT!C370)</f>
        <v/>
      </c>
      <c r="E947" s="27" t="str">
        <f>IF(DATA_INPUT!D370="","",DATA_INPUT!D370)</f>
        <v/>
      </c>
      <c r="F947" t="str">
        <f t="shared" si="16"/>
        <v/>
      </c>
      <c r="G947" t="str">
        <f t="shared" si="17"/>
        <v/>
      </c>
    </row>
    <row r="948" spans="1:7">
      <c r="A948" s="10" t="str">
        <f>IF(DATA_INPUT!A371="","",DATA_INPUT!A371)</f>
        <v/>
      </c>
      <c r="B948" t="str">
        <f t="shared" si="15"/>
        <v/>
      </c>
      <c r="C948" t="str">
        <f>IF(DATA_INPUT!B371="","",DATA_INPUT!B371)</f>
        <v/>
      </c>
      <c r="D948" t="str">
        <f>IF(DATA_INPUT!C371="","",DATA_INPUT!C371)</f>
        <v/>
      </c>
      <c r="E948" s="27" t="str">
        <f>IF(DATA_INPUT!D371="","",DATA_INPUT!D371)</f>
        <v/>
      </c>
      <c r="F948" t="str">
        <f t="shared" si="16"/>
        <v/>
      </c>
      <c r="G948" t="str">
        <f t="shared" si="17"/>
        <v/>
      </c>
    </row>
    <row r="949" spans="1:7">
      <c r="A949" s="10" t="str">
        <f>IF(DATA_INPUT!A372="","",DATA_INPUT!A372)</f>
        <v/>
      </c>
      <c r="B949" t="str">
        <f t="shared" si="15"/>
        <v/>
      </c>
      <c r="C949" t="str">
        <f>IF(DATA_INPUT!B372="","",DATA_INPUT!B372)</f>
        <v/>
      </c>
      <c r="D949" t="str">
        <f>IF(DATA_INPUT!C372="","",DATA_INPUT!C372)</f>
        <v/>
      </c>
      <c r="E949" s="27" t="str">
        <f>IF(DATA_INPUT!D372="","",DATA_INPUT!D372)</f>
        <v/>
      </c>
      <c r="F949" t="str">
        <f t="shared" si="16"/>
        <v/>
      </c>
      <c r="G949" t="str">
        <f t="shared" si="17"/>
        <v/>
      </c>
    </row>
    <row r="950" spans="1:7">
      <c r="A950" s="10" t="str">
        <f>IF(DATA_INPUT!A373="","",DATA_INPUT!A373)</f>
        <v/>
      </c>
      <c r="B950" t="str">
        <f t="shared" si="15"/>
        <v/>
      </c>
      <c r="C950" t="str">
        <f>IF(DATA_INPUT!B373="","",DATA_INPUT!B373)</f>
        <v/>
      </c>
      <c r="D950" t="str">
        <f>IF(DATA_INPUT!C373="","",DATA_INPUT!C373)</f>
        <v/>
      </c>
      <c r="E950" s="27" t="str">
        <f>IF(DATA_INPUT!D373="","",DATA_INPUT!D373)</f>
        <v/>
      </c>
      <c r="F950" t="str">
        <f t="shared" si="16"/>
        <v/>
      </c>
      <c r="G950" t="str">
        <f t="shared" si="17"/>
        <v/>
      </c>
    </row>
    <row r="951" spans="1:7">
      <c r="A951" s="10" t="str">
        <f>IF(DATA_INPUT!A374="","",DATA_INPUT!A374)</f>
        <v/>
      </c>
      <c r="B951" t="str">
        <f t="shared" si="15"/>
        <v/>
      </c>
      <c r="C951" t="str">
        <f>IF(DATA_INPUT!B374="","",DATA_INPUT!B374)</f>
        <v/>
      </c>
      <c r="D951" t="str">
        <f>IF(DATA_INPUT!C374="","",DATA_INPUT!C374)</f>
        <v/>
      </c>
      <c r="E951" s="27" t="str">
        <f>IF(DATA_INPUT!D374="","",DATA_INPUT!D374)</f>
        <v/>
      </c>
      <c r="F951" t="str">
        <f t="shared" si="16"/>
        <v/>
      </c>
      <c r="G951" t="str">
        <f t="shared" si="17"/>
        <v/>
      </c>
    </row>
    <row r="952" spans="1:7">
      <c r="A952" s="10" t="str">
        <f>IF(DATA_INPUT!A375="","",DATA_INPUT!A375)</f>
        <v/>
      </c>
      <c r="B952" t="str">
        <f t="shared" si="15"/>
        <v/>
      </c>
      <c r="C952" t="str">
        <f>IF(DATA_INPUT!B375="","",DATA_INPUT!B375)</f>
        <v/>
      </c>
      <c r="D952" t="str">
        <f>IF(DATA_INPUT!C375="","",DATA_INPUT!C375)</f>
        <v/>
      </c>
      <c r="E952" s="27" t="str">
        <f>IF(DATA_INPUT!D375="","",DATA_INPUT!D375)</f>
        <v/>
      </c>
      <c r="F952" t="str">
        <f t="shared" si="16"/>
        <v/>
      </c>
      <c r="G952" t="str">
        <f t="shared" si="17"/>
        <v/>
      </c>
    </row>
    <row r="953" spans="1:7">
      <c r="A953" s="10" t="str">
        <f>IF(DATA_INPUT!A376="","",DATA_INPUT!A376)</f>
        <v/>
      </c>
      <c r="B953" t="str">
        <f t="shared" si="15"/>
        <v/>
      </c>
      <c r="C953" t="str">
        <f>IF(DATA_INPUT!B376="","",DATA_INPUT!B376)</f>
        <v/>
      </c>
      <c r="D953" t="str">
        <f>IF(DATA_INPUT!C376="","",DATA_INPUT!C376)</f>
        <v/>
      </c>
      <c r="E953" s="27" t="str">
        <f>IF(DATA_INPUT!D376="","",DATA_INPUT!D376)</f>
        <v/>
      </c>
      <c r="F953" t="str">
        <f t="shared" si="16"/>
        <v/>
      </c>
      <c r="G953" t="str">
        <f t="shared" si="17"/>
        <v/>
      </c>
    </row>
    <row r="954" spans="1:7">
      <c r="A954" s="10" t="str">
        <f>IF(DATA_INPUT!A377="","",DATA_INPUT!A377)</f>
        <v/>
      </c>
      <c r="B954" t="str">
        <f t="shared" si="15"/>
        <v/>
      </c>
      <c r="C954" t="str">
        <f>IF(DATA_INPUT!B377="","",DATA_INPUT!B377)</f>
        <v/>
      </c>
      <c r="D954" t="str">
        <f>IF(DATA_INPUT!C377="","",DATA_INPUT!C377)</f>
        <v/>
      </c>
      <c r="E954" s="27" t="str">
        <f>IF(DATA_INPUT!D377="","",DATA_INPUT!D377)</f>
        <v/>
      </c>
      <c r="F954" t="str">
        <f t="shared" si="16"/>
        <v/>
      </c>
      <c r="G954" t="str">
        <f t="shared" si="17"/>
        <v/>
      </c>
    </row>
    <row r="955" spans="1:7">
      <c r="A955" s="10" t="str">
        <f>IF(DATA_INPUT!A378="","",DATA_INPUT!A378)</f>
        <v/>
      </c>
      <c r="B955" t="str">
        <f t="shared" si="15"/>
        <v/>
      </c>
      <c r="C955" t="str">
        <f>IF(DATA_INPUT!B378="","",DATA_INPUT!B378)</f>
        <v/>
      </c>
      <c r="D955" t="str">
        <f>IF(DATA_INPUT!C378="","",DATA_INPUT!C378)</f>
        <v/>
      </c>
      <c r="E955" s="27" t="str">
        <f>IF(DATA_INPUT!D378="","",DATA_INPUT!D378)</f>
        <v/>
      </c>
      <c r="F955" t="str">
        <f t="shared" si="16"/>
        <v/>
      </c>
      <c r="G955" t="str">
        <f t="shared" si="17"/>
        <v/>
      </c>
    </row>
    <row r="956" spans="1:7">
      <c r="A956" s="10" t="str">
        <f>IF(DATA_INPUT!A379="","",DATA_INPUT!A379)</f>
        <v/>
      </c>
      <c r="B956" t="str">
        <f t="shared" si="15"/>
        <v/>
      </c>
      <c r="C956" t="str">
        <f>IF(DATA_INPUT!B379="","",DATA_INPUT!B379)</f>
        <v/>
      </c>
      <c r="D956" t="str">
        <f>IF(DATA_INPUT!C379="","",DATA_INPUT!C379)</f>
        <v/>
      </c>
      <c r="E956" s="27" t="str">
        <f>IF(DATA_INPUT!D379="","",DATA_INPUT!D379)</f>
        <v/>
      </c>
      <c r="F956" t="str">
        <f t="shared" si="16"/>
        <v/>
      </c>
      <c r="G956" t="str">
        <f t="shared" si="17"/>
        <v/>
      </c>
    </row>
    <row r="957" spans="1:7">
      <c r="A957" s="10" t="str">
        <f>IF(DATA_INPUT!A380="","",DATA_INPUT!A380)</f>
        <v/>
      </c>
      <c r="B957" t="str">
        <f t="shared" si="15"/>
        <v/>
      </c>
      <c r="C957" t="str">
        <f>IF(DATA_INPUT!B380="","",DATA_INPUT!B380)</f>
        <v/>
      </c>
      <c r="D957" t="str">
        <f>IF(DATA_INPUT!C380="","",DATA_INPUT!C380)</f>
        <v/>
      </c>
      <c r="E957" s="27" t="str">
        <f>IF(DATA_INPUT!D380="","",DATA_INPUT!D380)</f>
        <v/>
      </c>
      <c r="F957" t="str">
        <f t="shared" si="16"/>
        <v/>
      </c>
      <c r="G957" t="str">
        <f t="shared" si="17"/>
        <v/>
      </c>
    </row>
    <row r="958" spans="1:7">
      <c r="A958" s="10" t="str">
        <f>IF(DATA_INPUT!A381="","",DATA_INPUT!A381)</f>
        <v/>
      </c>
      <c r="B958" t="str">
        <f t="shared" si="15"/>
        <v/>
      </c>
      <c r="C958" t="str">
        <f>IF(DATA_INPUT!B381="","",DATA_INPUT!B381)</f>
        <v/>
      </c>
      <c r="D958" t="str">
        <f>IF(DATA_INPUT!C381="","",DATA_INPUT!C381)</f>
        <v/>
      </c>
      <c r="E958" s="27" t="str">
        <f>IF(DATA_INPUT!D381="","",DATA_INPUT!D381)</f>
        <v/>
      </c>
      <c r="F958" t="str">
        <f t="shared" si="16"/>
        <v/>
      </c>
      <c r="G958" t="str">
        <f t="shared" si="17"/>
        <v/>
      </c>
    </row>
    <row r="959" spans="1:7">
      <c r="A959" s="10" t="str">
        <f>IF(DATA_INPUT!A382="","",DATA_INPUT!A382)</f>
        <v/>
      </c>
      <c r="B959" t="str">
        <f t="shared" si="15"/>
        <v/>
      </c>
      <c r="C959" t="str">
        <f>IF(DATA_INPUT!B382="","",DATA_INPUT!B382)</f>
        <v/>
      </c>
      <c r="D959" t="str">
        <f>IF(DATA_INPUT!C382="","",DATA_INPUT!C382)</f>
        <v/>
      </c>
      <c r="E959" s="27" t="str">
        <f>IF(DATA_INPUT!D382="","",DATA_INPUT!D382)</f>
        <v/>
      </c>
      <c r="F959" t="str">
        <f t="shared" si="16"/>
        <v/>
      </c>
      <c r="G959" t="str">
        <f t="shared" si="17"/>
        <v/>
      </c>
    </row>
    <row r="960" spans="1:7">
      <c r="A960" s="10" t="str">
        <f>IF(DATA_INPUT!A383="","",DATA_INPUT!A383)</f>
        <v/>
      </c>
      <c r="B960" t="str">
        <f t="shared" si="15"/>
        <v/>
      </c>
      <c r="C960" t="str">
        <f>IF(DATA_INPUT!B383="","",DATA_INPUT!B383)</f>
        <v/>
      </c>
      <c r="D960" t="str">
        <f>IF(DATA_INPUT!C383="","",DATA_INPUT!C383)</f>
        <v/>
      </c>
      <c r="E960" s="27" t="str">
        <f>IF(DATA_INPUT!D383="","",DATA_INPUT!D383)</f>
        <v/>
      </c>
      <c r="F960" t="str">
        <f t="shared" si="16"/>
        <v/>
      </c>
      <c r="G960" t="str">
        <f t="shared" si="17"/>
        <v/>
      </c>
    </row>
    <row r="961" spans="1:7">
      <c r="A961" s="10" t="str">
        <f>IF(DATA_INPUT!A384="","",DATA_INPUT!A384)</f>
        <v/>
      </c>
      <c r="B961" t="str">
        <f t="shared" si="15"/>
        <v/>
      </c>
      <c r="C961" t="str">
        <f>IF(DATA_INPUT!B384="","",DATA_INPUT!B384)</f>
        <v/>
      </c>
      <c r="D961" t="str">
        <f>IF(DATA_INPUT!C384="","",DATA_INPUT!C384)</f>
        <v/>
      </c>
      <c r="E961" s="27" t="str">
        <f>IF(DATA_INPUT!D384="","",DATA_INPUT!D384)</f>
        <v/>
      </c>
      <c r="F961" t="str">
        <f t="shared" si="16"/>
        <v/>
      </c>
      <c r="G961" t="str">
        <f t="shared" si="17"/>
        <v/>
      </c>
    </row>
    <row r="962" spans="1:7">
      <c r="A962" s="10" t="str">
        <f>IF(DATA_INPUT!A385="","",DATA_INPUT!A385)</f>
        <v/>
      </c>
      <c r="B962" t="str">
        <f t="shared" si="15"/>
        <v/>
      </c>
      <c r="C962" t="str">
        <f>IF(DATA_INPUT!B385="","",DATA_INPUT!B385)</f>
        <v/>
      </c>
      <c r="D962" t="str">
        <f>IF(DATA_INPUT!C385="","",DATA_INPUT!C385)</f>
        <v/>
      </c>
      <c r="E962" s="27" t="str">
        <f>IF(DATA_INPUT!D385="","",DATA_INPUT!D385)</f>
        <v/>
      </c>
      <c r="F962" t="str">
        <f t="shared" si="16"/>
        <v/>
      </c>
      <c r="G962" t="str">
        <f t="shared" si="17"/>
        <v/>
      </c>
    </row>
    <row r="963" spans="1:7">
      <c r="A963" s="10" t="str">
        <f>IF(DATA_INPUT!A386="","",DATA_INPUT!A386)</f>
        <v/>
      </c>
      <c r="B963" t="str">
        <f t="shared" si="15"/>
        <v/>
      </c>
      <c r="C963" t="str">
        <f>IF(DATA_INPUT!B386="","",DATA_INPUT!B386)</f>
        <v/>
      </c>
      <c r="D963" t="str">
        <f>IF(DATA_INPUT!C386="","",DATA_INPUT!C386)</f>
        <v/>
      </c>
      <c r="E963" s="27" t="str">
        <f>IF(DATA_INPUT!D386="","",DATA_INPUT!D386)</f>
        <v/>
      </c>
      <c r="F963" t="str">
        <f t="shared" si="16"/>
        <v/>
      </c>
      <c r="G963" t="str">
        <f t="shared" si="17"/>
        <v/>
      </c>
    </row>
    <row r="964" spans="1:7">
      <c r="A964" s="10" t="str">
        <f>IF(DATA_INPUT!A387="","",DATA_INPUT!A387)</f>
        <v/>
      </c>
      <c r="B964" t="str">
        <f t="shared" ref="B964:B1027" si="18">IF(A964="","",TEXT(A964,"dddd"))</f>
        <v/>
      </c>
      <c r="C964" t="str">
        <f>IF(DATA_INPUT!B387="","",DATA_INPUT!B387)</f>
        <v/>
      </c>
      <c r="D964" t="str">
        <f>IF(DATA_INPUT!C387="","",DATA_INPUT!C387)</f>
        <v/>
      </c>
      <c r="E964" s="27" t="str">
        <f>IF(DATA_INPUT!D387="","",DATA_INPUT!D387)</f>
        <v/>
      </c>
      <c r="F964" t="str">
        <f t="shared" ref="F964:F1027" si="19">IF(A964="","",TEXT(A964,"mmm yyyy"))</f>
        <v/>
      </c>
      <c r="G964" t="str">
        <f t="shared" ref="G964:G1027" si="20">IF(A964="","",WEEKNUM(A964))</f>
        <v/>
      </c>
    </row>
    <row r="965" spans="1:7">
      <c r="A965" s="10" t="str">
        <f>IF(DATA_INPUT!A388="","",DATA_INPUT!A388)</f>
        <v/>
      </c>
      <c r="B965" t="str">
        <f t="shared" si="18"/>
        <v/>
      </c>
      <c r="C965" t="str">
        <f>IF(DATA_INPUT!B388="","",DATA_INPUT!B388)</f>
        <v/>
      </c>
      <c r="D965" t="str">
        <f>IF(DATA_INPUT!C388="","",DATA_INPUT!C388)</f>
        <v/>
      </c>
      <c r="E965" s="27" t="str">
        <f>IF(DATA_INPUT!D388="","",DATA_INPUT!D388)</f>
        <v/>
      </c>
      <c r="F965" t="str">
        <f t="shared" si="19"/>
        <v/>
      </c>
      <c r="G965" t="str">
        <f t="shared" si="20"/>
        <v/>
      </c>
    </row>
    <row r="966" spans="1:7">
      <c r="A966" s="10" t="str">
        <f>IF(DATA_INPUT!A389="","",DATA_INPUT!A389)</f>
        <v/>
      </c>
      <c r="B966" t="str">
        <f t="shared" si="18"/>
        <v/>
      </c>
      <c r="C966" t="str">
        <f>IF(DATA_INPUT!B389="","",DATA_INPUT!B389)</f>
        <v/>
      </c>
      <c r="D966" t="str">
        <f>IF(DATA_INPUT!C389="","",DATA_INPUT!C389)</f>
        <v/>
      </c>
      <c r="E966" s="27" t="str">
        <f>IF(DATA_INPUT!D389="","",DATA_INPUT!D389)</f>
        <v/>
      </c>
      <c r="F966" t="str">
        <f t="shared" si="19"/>
        <v/>
      </c>
      <c r="G966" t="str">
        <f t="shared" si="20"/>
        <v/>
      </c>
    </row>
    <row r="967" spans="1:7">
      <c r="A967" s="10" t="str">
        <f>IF(DATA_INPUT!A390="","",DATA_INPUT!A390)</f>
        <v/>
      </c>
      <c r="B967" t="str">
        <f t="shared" si="18"/>
        <v/>
      </c>
      <c r="C967" t="str">
        <f>IF(DATA_INPUT!B390="","",DATA_INPUT!B390)</f>
        <v/>
      </c>
      <c r="D967" t="str">
        <f>IF(DATA_INPUT!C390="","",DATA_INPUT!C390)</f>
        <v/>
      </c>
      <c r="E967" s="27" t="str">
        <f>IF(DATA_INPUT!D390="","",DATA_INPUT!D390)</f>
        <v/>
      </c>
      <c r="F967" t="str">
        <f t="shared" si="19"/>
        <v/>
      </c>
      <c r="G967" t="str">
        <f t="shared" si="20"/>
        <v/>
      </c>
    </row>
    <row r="968" spans="1:7">
      <c r="A968" s="10" t="str">
        <f>IF(DATA_INPUT!A391="","",DATA_INPUT!A391)</f>
        <v/>
      </c>
      <c r="B968" t="str">
        <f t="shared" si="18"/>
        <v/>
      </c>
      <c r="C968" t="str">
        <f>IF(DATA_INPUT!B391="","",DATA_INPUT!B391)</f>
        <v/>
      </c>
      <c r="D968" t="str">
        <f>IF(DATA_INPUT!C391="","",DATA_INPUT!C391)</f>
        <v/>
      </c>
      <c r="E968" s="27" t="str">
        <f>IF(DATA_INPUT!D391="","",DATA_INPUT!D391)</f>
        <v/>
      </c>
      <c r="F968" t="str">
        <f t="shared" si="19"/>
        <v/>
      </c>
      <c r="G968" t="str">
        <f t="shared" si="20"/>
        <v/>
      </c>
    </row>
    <row r="969" spans="1:7">
      <c r="A969" s="10" t="str">
        <f>IF(DATA_INPUT!A392="","",DATA_INPUT!A392)</f>
        <v/>
      </c>
      <c r="B969" t="str">
        <f t="shared" si="18"/>
        <v/>
      </c>
      <c r="C969" t="str">
        <f>IF(DATA_INPUT!B392="","",DATA_INPUT!B392)</f>
        <v/>
      </c>
      <c r="D969" t="str">
        <f>IF(DATA_INPUT!C392="","",DATA_INPUT!C392)</f>
        <v/>
      </c>
      <c r="E969" s="27" t="str">
        <f>IF(DATA_INPUT!D392="","",DATA_INPUT!D392)</f>
        <v/>
      </c>
      <c r="F969" t="str">
        <f t="shared" si="19"/>
        <v/>
      </c>
      <c r="G969" t="str">
        <f t="shared" si="20"/>
        <v/>
      </c>
    </row>
    <row r="970" spans="1:7">
      <c r="A970" s="10" t="str">
        <f>IF(DATA_INPUT!A393="","",DATA_INPUT!A393)</f>
        <v/>
      </c>
      <c r="B970" t="str">
        <f t="shared" si="18"/>
        <v/>
      </c>
      <c r="C970" t="str">
        <f>IF(DATA_INPUT!B393="","",DATA_INPUT!B393)</f>
        <v/>
      </c>
      <c r="D970" t="str">
        <f>IF(DATA_INPUT!C393="","",DATA_INPUT!C393)</f>
        <v/>
      </c>
      <c r="E970" s="27" t="str">
        <f>IF(DATA_INPUT!D393="","",DATA_INPUT!D393)</f>
        <v/>
      </c>
      <c r="F970" t="str">
        <f t="shared" si="19"/>
        <v/>
      </c>
      <c r="G970" t="str">
        <f t="shared" si="20"/>
        <v/>
      </c>
    </row>
    <row r="971" spans="1:7">
      <c r="A971" s="10" t="str">
        <f>IF(DATA_INPUT!A394="","",DATA_INPUT!A394)</f>
        <v/>
      </c>
      <c r="B971" t="str">
        <f t="shared" si="18"/>
        <v/>
      </c>
      <c r="C971" t="str">
        <f>IF(DATA_INPUT!B394="","",DATA_INPUT!B394)</f>
        <v/>
      </c>
      <c r="D971" t="str">
        <f>IF(DATA_INPUT!C394="","",DATA_INPUT!C394)</f>
        <v/>
      </c>
      <c r="E971" s="27" t="str">
        <f>IF(DATA_INPUT!D394="","",DATA_INPUT!D394)</f>
        <v/>
      </c>
      <c r="F971" t="str">
        <f t="shared" si="19"/>
        <v/>
      </c>
      <c r="G971" t="str">
        <f t="shared" si="20"/>
        <v/>
      </c>
    </row>
    <row r="972" spans="1:7">
      <c r="A972" s="10" t="str">
        <f>IF(DATA_INPUT!A395="","",DATA_INPUT!A395)</f>
        <v/>
      </c>
      <c r="B972" t="str">
        <f t="shared" si="18"/>
        <v/>
      </c>
      <c r="C972" t="str">
        <f>IF(DATA_INPUT!B395="","",DATA_INPUT!B395)</f>
        <v/>
      </c>
      <c r="D972" t="str">
        <f>IF(DATA_INPUT!C395="","",DATA_INPUT!C395)</f>
        <v/>
      </c>
      <c r="E972" s="27" t="str">
        <f>IF(DATA_INPUT!D395="","",DATA_INPUT!D395)</f>
        <v/>
      </c>
      <c r="F972" t="str">
        <f t="shared" si="19"/>
        <v/>
      </c>
      <c r="G972" t="str">
        <f t="shared" si="20"/>
        <v/>
      </c>
    </row>
    <row r="973" spans="1:7">
      <c r="A973" s="10" t="str">
        <f>IF(DATA_INPUT!A396="","",DATA_INPUT!A396)</f>
        <v/>
      </c>
      <c r="B973" t="str">
        <f t="shared" si="18"/>
        <v/>
      </c>
      <c r="C973" t="str">
        <f>IF(DATA_INPUT!B396="","",DATA_INPUT!B396)</f>
        <v/>
      </c>
      <c r="D973" t="str">
        <f>IF(DATA_INPUT!C396="","",DATA_INPUT!C396)</f>
        <v/>
      </c>
      <c r="E973" s="27" t="str">
        <f>IF(DATA_INPUT!D396="","",DATA_INPUT!D396)</f>
        <v/>
      </c>
      <c r="F973" t="str">
        <f t="shared" si="19"/>
        <v/>
      </c>
      <c r="G973" t="str">
        <f t="shared" si="20"/>
        <v/>
      </c>
    </row>
    <row r="974" spans="1:7">
      <c r="A974" s="10" t="str">
        <f>IF(DATA_INPUT!A397="","",DATA_INPUT!A397)</f>
        <v/>
      </c>
      <c r="B974" t="str">
        <f t="shared" si="18"/>
        <v/>
      </c>
      <c r="C974" t="str">
        <f>IF(DATA_INPUT!B397="","",DATA_INPUT!B397)</f>
        <v/>
      </c>
      <c r="D974" t="str">
        <f>IF(DATA_INPUT!C397="","",DATA_INPUT!C397)</f>
        <v/>
      </c>
      <c r="E974" s="27" t="str">
        <f>IF(DATA_INPUT!D397="","",DATA_INPUT!D397)</f>
        <v/>
      </c>
      <c r="F974" t="str">
        <f t="shared" si="19"/>
        <v/>
      </c>
      <c r="G974" t="str">
        <f t="shared" si="20"/>
        <v/>
      </c>
    </row>
    <row r="975" spans="1:7">
      <c r="A975" s="10" t="str">
        <f>IF(DATA_INPUT!A398="","",DATA_INPUT!A398)</f>
        <v/>
      </c>
      <c r="B975" t="str">
        <f t="shared" si="18"/>
        <v/>
      </c>
      <c r="C975" t="str">
        <f>IF(DATA_INPUT!B398="","",DATA_INPUT!B398)</f>
        <v/>
      </c>
      <c r="D975" t="str">
        <f>IF(DATA_INPUT!C398="","",DATA_INPUT!C398)</f>
        <v/>
      </c>
      <c r="E975" s="27" t="str">
        <f>IF(DATA_INPUT!D398="","",DATA_INPUT!D398)</f>
        <v/>
      </c>
      <c r="F975" t="str">
        <f t="shared" si="19"/>
        <v/>
      </c>
      <c r="G975" t="str">
        <f t="shared" si="20"/>
        <v/>
      </c>
    </row>
    <row r="976" spans="1:7">
      <c r="A976" s="10" t="str">
        <f>IF(DATA_INPUT!A399="","",DATA_INPUT!A399)</f>
        <v/>
      </c>
      <c r="B976" t="str">
        <f t="shared" si="18"/>
        <v/>
      </c>
      <c r="C976" t="str">
        <f>IF(DATA_INPUT!B399="","",DATA_INPUT!B399)</f>
        <v/>
      </c>
      <c r="D976" t="str">
        <f>IF(DATA_INPUT!C399="","",DATA_INPUT!C399)</f>
        <v/>
      </c>
      <c r="E976" s="27" t="str">
        <f>IF(DATA_INPUT!D399="","",DATA_INPUT!D399)</f>
        <v/>
      </c>
      <c r="F976" t="str">
        <f t="shared" si="19"/>
        <v/>
      </c>
      <c r="G976" t="str">
        <f t="shared" si="20"/>
        <v/>
      </c>
    </row>
    <row r="977" spans="1:7">
      <c r="A977" s="10" t="str">
        <f>IF(DATA_INPUT!A400="","",DATA_INPUT!A400)</f>
        <v/>
      </c>
      <c r="B977" t="str">
        <f t="shared" si="18"/>
        <v/>
      </c>
      <c r="C977" t="str">
        <f>IF(DATA_INPUT!B400="","",DATA_INPUT!B400)</f>
        <v/>
      </c>
      <c r="D977" t="str">
        <f>IF(DATA_INPUT!C400="","",DATA_INPUT!C400)</f>
        <v/>
      </c>
      <c r="E977" s="27" t="str">
        <f>IF(DATA_INPUT!D400="","",DATA_INPUT!D400)</f>
        <v/>
      </c>
      <c r="F977" t="str">
        <f t="shared" si="19"/>
        <v/>
      </c>
      <c r="G977" t="str">
        <f t="shared" si="20"/>
        <v/>
      </c>
    </row>
    <row r="978" spans="1:7">
      <c r="A978" s="10" t="str">
        <f>IF(DATA_INPUT!A401="","",DATA_INPUT!A401)</f>
        <v/>
      </c>
      <c r="B978" t="str">
        <f t="shared" si="18"/>
        <v/>
      </c>
      <c r="C978" t="str">
        <f>IF(DATA_INPUT!B401="","",DATA_INPUT!B401)</f>
        <v/>
      </c>
      <c r="D978" t="str">
        <f>IF(DATA_INPUT!C401="","",DATA_INPUT!C401)</f>
        <v/>
      </c>
      <c r="E978" s="27" t="str">
        <f>IF(DATA_INPUT!D401="","",DATA_INPUT!D401)</f>
        <v/>
      </c>
      <c r="F978" t="str">
        <f t="shared" si="19"/>
        <v/>
      </c>
      <c r="G978" t="str">
        <f t="shared" si="20"/>
        <v/>
      </c>
    </row>
    <row r="979" spans="1:7">
      <c r="A979" s="10" t="str">
        <f>IF(DATA_INPUT!A402="","",DATA_INPUT!A402)</f>
        <v/>
      </c>
      <c r="B979" t="str">
        <f t="shared" si="18"/>
        <v/>
      </c>
      <c r="C979" t="str">
        <f>IF(DATA_INPUT!B402="","",DATA_INPUT!B402)</f>
        <v/>
      </c>
      <c r="D979" t="str">
        <f>IF(DATA_INPUT!C402="","",DATA_INPUT!C402)</f>
        <v/>
      </c>
      <c r="E979" s="27" t="str">
        <f>IF(DATA_INPUT!D402="","",DATA_INPUT!D402)</f>
        <v/>
      </c>
      <c r="F979" t="str">
        <f t="shared" si="19"/>
        <v/>
      </c>
      <c r="G979" t="str">
        <f t="shared" si="20"/>
        <v/>
      </c>
    </row>
    <row r="980" spans="1:7">
      <c r="A980" s="10" t="str">
        <f>IF(DATA_INPUT!A403="","",DATA_INPUT!A403)</f>
        <v/>
      </c>
      <c r="B980" t="str">
        <f t="shared" si="18"/>
        <v/>
      </c>
      <c r="C980" t="str">
        <f>IF(DATA_INPUT!B403="","",DATA_INPUT!B403)</f>
        <v/>
      </c>
      <c r="D980" t="str">
        <f>IF(DATA_INPUT!C403="","",DATA_INPUT!C403)</f>
        <v/>
      </c>
      <c r="E980" s="27" t="str">
        <f>IF(DATA_INPUT!D403="","",DATA_INPUT!D403)</f>
        <v/>
      </c>
      <c r="F980" t="str">
        <f t="shared" si="19"/>
        <v/>
      </c>
      <c r="G980" t="str">
        <f t="shared" si="20"/>
        <v/>
      </c>
    </row>
    <row r="981" spans="1:7">
      <c r="A981" s="10" t="str">
        <f>IF(DATA_INPUT!A404="","",DATA_INPUT!A404)</f>
        <v/>
      </c>
      <c r="B981" t="str">
        <f t="shared" si="18"/>
        <v/>
      </c>
      <c r="C981" t="str">
        <f>IF(DATA_INPUT!B404="","",DATA_INPUT!B404)</f>
        <v/>
      </c>
      <c r="D981" t="str">
        <f>IF(DATA_INPUT!C404="","",DATA_INPUT!C404)</f>
        <v/>
      </c>
      <c r="E981" s="27" t="str">
        <f>IF(DATA_INPUT!D404="","",DATA_INPUT!D404)</f>
        <v/>
      </c>
      <c r="F981" t="str">
        <f t="shared" si="19"/>
        <v/>
      </c>
      <c r="G981" t="str">
        <f t="shared" si="20"/>
        <v/>
      </c>
    </row>
    <row r="982" spans="1:7">
      <c r="A982" s="10" t="str">
        <f>IF(DATA_INPUT!A405="","",DATA_INPUT!A405)</f>
        <v/>
      </c>
      <c r="B982" t="str">
        <f t="shared" si="18"/>
        <v/>
      </c>
      <c r="C982" t="str">
        <f>IF(DATA_INPUT!B405="","",DATA_INPUT!B405)</f>
        <v/>
      </c>
      <c r="D982" t="str">
        <f>IF(DATA_INPUT!C405="","",DATA_INPUT!C405)</f>
        <v/>
      </c>
      <c r="E982" s="27" t="str">
        <f>IF(DATA_INPUT!D405="","",DATA_INPUT!D405)</f>
        <v/>
      </c>
      <c r="F982" t="str">
        <f t="shared" si="19"/>
        <v/>
      </c>
      <c r="G982" t="str">
        <f t="shared" si="20"/>
        <v/>
      </c>
    </row>
    <row r="983" spans="1:7">
      <c r="A983" s="10" t="str">
        <f>IF(DATA_INPUT!A406="","",DATA_INPUT!A406)</f>
        <v/>
      </c>
      <c r="B983" t="str">
        <f t="shared" si="18"/>
        <v/>
      </c>
      <c r="C983" t="str">
        <f>IF(DATA_INPUT!B406="","",DATA_INPUT!B406)</f>
        <v/>
      </c>
      <c r="D983" t="str">
        <f>IF(DATA_INPUT!C406="","",DATA_INPUT!C406)</f>
        <v/>
      </c>
      <c r="E983" s="27" t="str">
        <f>IF(DATA_INPUT!D406="","",DATA_INPUT!D406)</f>
        <v/>
      </c>
      <c r="F983" t="str">
        <f t="shared" si="19"/>
        <v/>
      </c>
      <c r="G983" t="str">
        <f t="shared" si="20"/>
        <v/>
      </c>
    </row>
    <row r="984" spans="1:7">
      <c r="A984" s="10" t="str">
        <f>IF(DATA_INPUT!A407="","",DATA_INPUT!A407)</f>
        <v/>
      </c>
      <c r="B984" t="str">
        <f t="shared" si="18"/>
        <v/>
      </c>
      <c r="C984" t="str">
        <f>IF(DATA_INPUT!B407="","",DATA_INPUT!B407)</f>
        <v/>
      </c>
      <c r="D984" t="str">
        <f>IF(DATA_INPUT!C407="","",DATA_INPUT!C407)</f>
        <v/>
      </c>
      <c r="E984" s="27" t="str">
        <f>IF(DATA_INPUT!D407="","",DATA_INPUT!D407)</f>
        <v/>
      </c>
      <c r="F984" t="str">
        <f t="shared" si="19"/>
        <v/>
      </c>
      <c r="G984" t="str">
        <f t="shared" si="20"/>
        <v/>
      </c>
    </row>
    <row r="985" spans="1:7">
      <c r="A985" s="10" t="str">
        <f>IF(DATA_INPUT!A408="","",DATA_INPUT!A408)</f>
        <v/>
      </c>
      <c r="B985" t="str">
        <f t="shared" si="18"/>
        <v/>
      </c>
      <c r="C985" t="str">
        <f>IF(DATA_INPUT!B408="","",DATA_INPUT!B408)</f>
        <v/>
      </c>
      <c r="D985" t="str">
        <f>IF(DATA_INPUT!C408="","",DATA_INPUT!C408)</f>
        <v/>
      </c>
      <c r="E985" s="27" t="str">
        <f>IF(DATA_INPUT!D408="","",DATA_INPUT!D408)</f>
        <v/>
      </c>
      <c r="F985" t="str">
        <f t="shared" si="19"/>
        <v/>
      </c>
      <c r="G985" t="str">
        <f t="shared" si="20"/>
        <v/>
      </c>
    </row>
    <row r="986" spans="1:7">
      <c r="A986" s="10" t="str">
        <f>IF(DATA_INPUT!A409="","",DATA_INPUT!A409)</f>
        <v/>
      </c>
      <c r="B986" t="str">
        <f t="shared" si="18"/>
        <v/>
      </c>
      <c r="C986" t="str">
        <f>IF(DATA_INPUT!B409="","",DATA_INPUT!B409)</f>
        <v/>
      </c>
      <c r="D986" t="str">
        <f>IF(DATA_INPUT!C409="","",DATA_INPUT!C409)</f>
        <v/>
      </c>
      <c r="E986" s="27" t="str">
        <f>IF(DATA_INPUT!D409="","",DATA_INPUT!D409)</f>
        <v/>
      </c>
      <c r="F986" t="str">
        <f t="shared" si="19"/>
        <v/>
      </c>
      <c r="G986" t="str">
        <f t="shared" si="20"/>
        <v/>
      </c>
    </row>
    <row r="987" spans="1:7">
      <c r="A987" s="10" t="str">
        <f>IF(DATA_INPUT!A410="","",DATA_INPUT!A410)</f>
        <v/>
      </c>
      <c r="B987" t="str">
        <f t="shared" si="18"/>
        <v/>
      </c>
      <c r="C987" t="str">
        <f>IF(DATA_INPUT!B410="","",DATA_INPUT!B410)</f>
        <v/>
      </c>
      <c r="D987" t="str">
        <f>IF(DATA_INPUT!C410="","",DATA_INPUT!C410)</f>
        <v/>
      </c>
      <c r="E987" s="27" t="str">
        <f>IF(DATA_INPUT!D410="","",DATA_INPUT!D410)</f>
        <v/>
      </c>
      <c r="F987" t="str">
        <f t="shared" si="19"/>
        <v/>
      </c>
      <c r="G987" t="str">
        <f t="shared" si="20"/>
        <v/>
      </c>
    </row>
    <row r="988" spans="1:7">
      <c r="A988" s="10" t="str">
        <f>IF(DATA_INPUT!A411="","",DATA_INPUT!A411)</f>
        <v/>
      </c>
      <c r="B988" t="str">
        <f t="shared" si="18"/>
        <v/>
      </c>
      <c r="C988" t="str">
        <f>IF(DATA_INPUT!B411="","",DATA_INPUT!B411)</f>
        <v/>
      </c>
      <c r="D988" t="str">
        <f>IF(DATA_INPUT!C411="","",DATA_INPUT!C411)</f>
        <v/>
      </c>
      <c r="E988" s="27" t="str">
        <f>IF(DATA_INPUT!D411="","",DATA_INPUT!D411)</f>
        <v/>
      </c>
      <c r="F988" t="str">
        <f t="shared" si="19"/>
        <v/>
      </c>
      <c r="G988" t="str">
        <f t="shared" si="20"/>
        <v/>
      </c>
    </row>
    <row r="989" spans="1:7">
      <c r="A989" s="10" t="str">
        <f>IF(DATA_INPUT!A412="","",DATA_INPUT!A412)</f>
        <v/>
      </c>
      <c r="B989" t="str">
        <f t="shared" si="18"/>
        <v/>
      </c>
      <c r="C989" t="str">
        <f>IF(DATA_INPUT!B412="","",DATA_INPUT!B412)</f>
        <v/>
      </c>
      <c r="D989" t="str">
        <f>IF(DATA_INPUT!C412="","",DATA_INPUT!C412)</f>
        <v/>
      </c>
      <c r="E989" s="27" t="str">
        <f>IF(DATA_INPUT!D412="","",DATA_INPUT!D412)</f>
        <v/>
      </c>
      <c r="F989" t="str">
        <f t="shared" si="19"/>
        <v/>
      </c>
      <c r="G989" t="str">
        <f t="shared" si="20"/>
        <v/>
      </c>
    </row>
    <row r="990" spans="1:7">
      <c r="A990" s="10" t="str">
        <f>IF(DATA_INPUT!A413="","",DATA_INPUT!A413)</f>
        <v/>
      </c>
      <c r="B990" t="str">
        <f t="shared" si="18"/>
        <v/>
      </c>
      <c r="C990" t="str">
        <f>IF(DATA_INPUT!B413="","",DATA_INPUT!B413)</f>
        <v/>
      </c>
      <c r="D990" t="str">
        <f>IF(DATA_INPUT!C413="","",DATA_INPUT!C413)</f>
        <v/>
      </c>
      <c r="E990" s="27" t="str">
        <f>IF(DATA_INPUT!D413="","",DATA_INPUT!D413)</f>
        <v/>
      </c>
      <c r="F990" t="str">
        <f t="shared" si="19"/>
        <v/>
      </c>
      <c r="G990" t="str">
        <f t="shared" si="20"/>
        <v/>
      </c>
    </row>
    <row r="991" spans="1:7">
      <c r="A991" s="10" t="str">
        <f>IF(DATA_INPUT!A414="","",DATA_INPUT!A414)</f>
        <v/>
      </c>
      <c r="B991" t="str">
        <f t="shared" si="18"/>
        <v/>
      </c>
      <c r="C991" t="str">
        <f>IF(DATA_INPUT!B414="","",DATA_INPUT!B414)</f>
        <v/>
      </c>
      <c r="D991" t="str">
        <f>IF(DATA_INPUT!C414="","",DATA_INPUT!C414)</f>
        <v/>
      </c>
      <c r="E991" s="27" t="str">
        <f>IF(DATA_INPUT!D414="","",DATA_INPUT!D414)</f>
        <v/>
      </c>
      <c r="F991" t="str">
        <f t="shared" si="19"/>
        <v/>
      </c>
      <c r="G991" t="str">
        <f t="shared" si="20"/>
        <v/>
      </c>
    </row>
    <row r="992" spans="1:7">
      <c r="A992" s="10" t="str">
        <f>IF(DATA_INPUT!A415="","",DATA_INPUT!A415)</f>
        <v/>
      </c>
      <c r="B992" t="str">
        <f t="shared" si="18"/>
        <v/>
      </c>
      <c r="C992" t="str">
        <f>IF(DATA_INPUT!B415="","",DATA_INPUT!B415)</f>
        <v/>
      </c>
      <c r="D992" t="str">
        <f>IF(DATA_INPUT!C415="","",DATA_INPUT!C415)</f>
        <v/>
      </c>
      <c r="E992" s="27" t="str">
        <f>IF(DATA_INPUT!D415="","",DATA_INPUT!D415)</f>
        <v/>
      </c>
      <c r="F992" t="str">
        <f t="shared" si="19"/>
        <v/>
      </c>
      <c r="G992" t="str">
        <f t="shared" si="20"/>
        <v/>
      </c>
    </row>
    <row r="993" spans="1:7">
      <c r="A993" s="10" t="str">
        <f>IF(DATA_INPUT!A416="","",DATA_INPUT!A416)</f>
        <v/>
      </c>
      <c r="B993" t="str">
        <f t="shared" si="18"/>
        <v/>
      </c>
      <c r="C993" t="str">
        <f>IF(DATA_INPUT!B416="","",DATA_INPUT!B416)</f>
        <v/>
      </c>
      <c r="D993" t="str">
        <f>IF(DATA_INPUT!C416="","",DATA_INPUT!C416)</f>
        <v/>
      </c>
      <c r="E993" s="27" t="str">
        <f>IF(DATA_INPUT!D416="","",DATA_INPUT!D416)</f>
        <v/>
      </c>
      <c r="F993" t="str">
        <f t="shared" si="19"/>
        <v/>
      </c>
      <c r="G993" t="str">
        <f t="shared" si="20"/>
        <v/>
      </c>
    </row>
    <row r="994" spans="1:7">
      <c r="A994" s="10" t="str">
        <f>IF(DATA_INPUT!A417="","",DATA_INPUT!A417)</f>
        <v/>
      </c>
      <c r="B994" t="str">
        <f t="shared" si="18"/>
        <v/>
      </c>
      <c r="C994" t="str">
        <f>IF(DATA_INPUT!B417="","",DATA_INPUT!B417)</f>
        <v/>
      </c>
      <c r="D994" t="str">
        <f>IF(DATA_INPUT!C417="","",DATA_INPUT!C417)</f>
        <v/>
      </c>
      <c r="E994" s="27" t="str">
        <f>IF(DATA_INPUT!D417="","",DATA_INPUT!D417)</f>
        <v/>
      </c>
      <c r="F994" t="str">
        <f t="shared" si="19"/>
        <v/>
      </c>
      <c r="G994" t="str">
        <f t="shared" si="20"/>
        <v/>
      </c>
    </row>
    <row r="995" spans="1:7">
      <c r="A995" s="10" t="str">
        <f>IF(DATA_INPUT!A418="","",DATA_INPUT!A418)</f>
        <v/>
      </c>
      <c r="B995" t="str">
        <f t="shared" si="18"/>
        <v/>
      </c>
      <c r="C995" t="str">
        <f>IF(DATA_INPUT!B418="","",DATA_INPUT!B418)</f>
        <v/>
      </c>
      <c r="D995" t="str">
        <f>IF(DATA_INPUT!C418="","",DATA_INPUT!C418)</f>
        <v/>
      </c>
      <c r="E995" s="27" t="str">
        <f>IF(DATA_INPUT!D418="","",DATA_INPUT!D418)</f>
        <v/>
      </c>
      <c r="F995" t="str">
        <f t="shared" si="19"/>
        <v/>
      </c>
      <c r="G995" t="str">
        <f t="shared" si="20"/>
        <v/>
      </c>
    </row>
    <row r="996" spans="1:7">
      <c r="A996" s="10" t="str">
        <f>IF(DATA_INPUT!A419="","",DATA_INPUT!A419)</f>
        <v/>
      </c>
      <c r="B996" t="str">
        <f t="shared" si="18"/>
        <v/>
      </c>
      <c r="C996" t="str">
        <f>IF(DATA_INPUT!B419="","",DATA_INPUT!B419)</f>
        <v/>
      </c>
      <c r="D996" t="str">
        <f>IF(DATA_INPUT!C419="","",DATA_INPUT!C419)</f>
        <v/>
      </c>
      <c r="E996" s="27" t="str">
        <f>IF(DATA_INPUT!D419="","",DATA_INPUT!D419)</f>
        <v/>
      </c>
      <c r="F996" t="str">
        <f t="shared" si="19"/>
        <v/>
      </c>
      <c r="G996" t="str">
        <f t="shared" si="20"/>
        <v/>
      </c>
    </row>
    <row r="997" spans="1:7">
      <c r="A997" s="10" t="str">
        <f>IF(DATA_INPUT!A420="","",DATA_INPUT!A420)</f>
        <v/>
      </c>
      <c r="B997" t="str">
        <f t="shared" si="18"/>
        <v/>
      </c>
      <c r="C997" t="str">
        <f>IF(DATA_INPUT!B420="","",DATA_INPUT!B420)</f>
        <v/>
      </c>
      <c r="D997" t="str">
        <f>IF(DATA_INPUT!C420="","",DATA_INPUT!C420)</f>
        <v/>
      </c>
      <c r="E997" s="27" t="str">
        <f>IF(DATA_INPUT!D420="","",DATA_INPUT!D420)</f>
        <v/>
      </c>
      <c r="F997" t="str">
        <f t="shared" si="19"/>
        <v/>
      </c>
      <c r="G997" t="str">
        <f t="shared" si="20"/>
        <v/>
      </c>
    </row>
    <row r="998" spans="1:7">
      <c r="A998" s="10" t="str">
        <f>IF(DATA_INPUT!A421="","",DATA_INPUT!A421)</f>
        <v/>
      </c>
      <c r="B998" t="str">
        <f t="shared" si="18"/>
        <v/>
      </c>
      <c r="C998" t="str">
        <f>IF(DATA_INPUT!B421="","",DATA_INPUT!B421)</f>
        <v/>
      </c>
      <c r="D998" t="str">
        <f>IF(DATA_INPUT!C421="","",DATA_INPUT!C421)</f>
        <v/>
      </c>
      <c r="E998" s="27" t="str">
        <f>IF(DATA_INPUT!D421="","",DATA_INPUT!D421)</f>
        <v/>
      </c>
      <c r="F998" t="str">
        <f t="shared" si="19"/>
        <v/>
      </c>
      <c r="G998" t="str">
        <f t="shared" si="20"/>
        <v/>
      </c>
    </row>
    <row r="999" spans="1:7">
      <c r="A999" s="10" t="str">
        <f>IF(DATA_INPUT!A422="","",DATA_INPUT!A422)</f>
        <v/>
      </c>
      <c r="B999" t="str">
        <f t="shared" si="18"/>
        <v/>
      </c>
      <c r="C999" t="str">
        <f>IF(DATA_INPUT!B422="","",DATA_INPUT!B422)</f>
        <v/>
      </c>
      <c r="D999" t="str">
        <f>IF(DATA_INPUT!C422="","",DATA_INPUT!C422)</f>
        <v/>
      </c>
      <c r="E999" s="27" t="str">
        <f>IF(DATA_INPUT!D422="","",DATA_INPUT!D422)</f>
        <v/>
      </c>
      <c r="F999" t="str">
        <f t="shared" si="19"/>
        <v/>
      </c>
      <c r="G999" t="str">
        <f t="shared" si="20"/>
        <v/>
      </c>
    </row>
    <row r="1000" spans="1:7">
      <c r="A1000" s="10" t="str">
        <f>IF(DATA_INPUT!A423="","",DATA_INPUT!A423)</f>
        <v/>
      </c>
      <c r="B1000" t="str">
        <f t="shared" si="18"/>
        <v/>
      </c>
      <c r="C1000" t="str">
        <f>IF(DATA_INPUT!B423="","",DATA_INPUT!B423)</f>
        <v/>
      </c>
      <c r="D1000" t="str">
        <f>IF(DATA_INPUT!C423="","",DATA_INPUT!C423)</f>
        <v/>
      </c>
      <c r="E1000" s="27" t="str">
        <f>IF(DATA_INPUT!D423="","",DATA_INPUT!D423)</f>
        <v/>
      </c>
      <c r="F1000" t="str">
        <f t="shared" si="19"/>
        <v/>
      </c>
      <c r="G1000" t="str">
        <f t="shared" si="20"/>
        <v/>
      </c>
    </row>
    <row r="1001" spans="1:7">
      <c r="A1001" s="10" t="str">
        <f>IF(DATA_INPUT!A424="","",DATA_INPUT!A424)</f>
        <v/>
      </c>
      <c r="B1001" t="str">
        <f t="shared" si="18"/>
        <v/>
      </c>
      <c r="C1001" t="str">
        <f>IF(DATA_INPUT!B424="","",DATA_INPUT!B424)</f>
        <v/>
      </c>
      <c r="D1001" t="str">
        <f>IF(DATA_INPUT!C424="","",DATA_INPUT!C424)</f>
        <v/>
      </c>
      <c r="E1001" s="27" t="str">
        <f>IF(DATA_INPUT!D424="","",DATA_INPUT!D424)</f>
        <v/>
      </c>
      <c r="F1001" t="str">
        <f t="shared" si="19"/>
        <v/>
      </c>
      <c r="G1001" t="str">
        <f t="shared" si="20"/>
        <v/>
      </c>
    </row>
    <row r="1002" spans="1:7">
      <c r="A1002" s="10" t="str">
        <f>IF(DATA_INPUT!A425="","",DATA_INPUT!A425)</f>
        <v/>
      </c>
      <c r="B1002" t="str">
        <f t="shared" si="18"/>
        <v/>
      </c>
      <c r="C1002" t="str">
        <f>IF(DATA_INPUT!B425="","",DATA_INPUT!B425)</f>
        <v/>
      </c>
      <c r="D1002" t="str">
        <f>IF(DATA_INPUT!C425="","",DATA_INPUT!C425)</f>
        <v/>
      </c>
      <c r="E1002" s="27" t="str">
        <f>IF(DATA_INPUT!D425="","",DATA_INPUT!D425)</f>
        <v/>
      </c>
      <c r="F1002" t="str">
        <f t="shared" si="19"/>
        <v/>
      </c>
      <c r="G1002" t="str">
        <f t="shared" si="20"/>
        <v/>
      </c>
    </row>
    <row r="1003" spans="1:7">
      <c r="A1003" s="10" t="str">
        <f>IF(DATA_INPUT!A426="","",DATA_INPUT!A426)</f>
        <v/>
      </c>
      <c r="B1003" t="str">
        <f t="shared" si="18"/>
        <v/>
      </c>
      <c r="C1003" t="str">
        <f>IF(DATA_INPUT!B426="","",DATA_INPUT!B426)</f>
        <v/>
      </c>
      <c r="D1003" t="str">
        <f>IF(DATA_INPUT!C426="","",DATA_INPUT!C426)</f>
        <v/>
      </c>
      <c r="E1003" s="27" t="str">
        <f>IF(DATA_INPUT!D426="","",DATA_INPUT!D426)</f>
        <v/>
      </c>
      <c r="F1003" t="str">
        <f t="shared" si="19"/>
        <v/>
      </c>
      <c r="G1003" t="str">
        <f t="shared" si="20"/>
        <v/>
      </c>
    </row>
    <row r="1004" spans="1:7">
      <c r="A1004" s="10" t="str">
        <f>IF(DATA_INPUT!A427="","",DATA_INPUT!A427)</f>
        <v/>
      </c>
      <c r="B1004" t="str">
        <f t="shared" si="18"/>
        <v/>
      </c>
      <c r="C1004" t="str">
        <f>IF(DATA_INPUT!B427="","",DATA_INPUT!B427)</f>
        <v/>
      </c>
      <c r="D1004" t="str">
        <f>IF(DATA_INPUT!C427="","",DATA_INPUT!C427)</f>
        <v/>
      </c>
      <c r="E1004" s="27" t="str">
        <f>IF(DATA_INPUT!D427="","",DATA_INPUT!D427)</f>
        <v/>
      </c>
      <c r="F1004" t="str">
        <f t="shared" si="19"/>
        <v/>
      </c>
      <c r="G1004" t="str">
        <f t="shared" si="20"/>
        <v/>
      </c>
    </row>
    <row r="1005" spans="1:7">
      <c r="A1005" s="10" t="str">
        <f>IF(DATA_INPUT!A428="","",DATA_INPUT!A428)</f>
        <v/>
      </c>
      <c r="B1005" t="str">
        <f t="shared" si="18"/>
        <v/>
      </c>
      <c r="C1005" t="str">
        <f>IF(DATA_INPUT!B428="","",DATA_INPUT!B428)</f>
        <v/>
      </c>
      <c r="D1005" t="str">
        <f>IF(DATA_INPUT!C428="","",DATA_INPUT!C428)</f>
        <v/>
      </c>
      <c r="E1005" s="27" t="str">
        <f>IF(DATA_INPUT!D428="","",DATA_INPUT!D428)</f>
        <v/>
      </c>
      <c r="F1005" t="str">
        <f t="shared" si="19"/>
        <v/>
      </c>
      <c r="G1005" t="str">
        <f t="shared" si="20"/>
        <v/>
      </c>
    </row>
    <row r="1006" spans="1:7">
      <c r="A1006" s="10" t="str">
        <f>IF(DATA_INPUT!A429="","",DATA_INPUT!A429)</f>
        <v/>
      </c>
      <c r="B1006" t="str">
        <f t="shared" si="18"/>
        <v/>
      </c>
      <c r="C1006" t="str">
        <f>IF(DATA_INPUT!B429="","",DATA_INPUT!B429)</f>
        <v/>
      </c>
      <c r="D1006" t="str">
        <f>IF(DATA_INPUT!C429="","",DATA_INPUT!C429)</f>
        <v/>
      </c>
      <c r="E1006" s="27" t="str">
        <f>IF(DATA_INPUT!D429="","",DATA_INPUT!D429)</f>
        <v/>
      </c>
      <c r="F1006" t="str">
        <f t="shared" si="19"/>
        <v/>
      </c>
      <c r="G1006" t="str">
        <f t="shared" si="20"/>
        <v/>
      </c>
    </row>
    <row r="1007" spans="1:7">
      <c r="A1007" s="10" t="str">
        <f>IF(DATA_INPUT!A430="","",DATA_INPUT!A430)</f>
        <v/>
      </c>
      <c r="B1007" t="str">
        <f t="shared" si="18"/>
        <v/>
      </c>
      <c r="C1007" t="str">
        <f>IF(DATA_INPUT!B430="","",DATA_INPUT!B430)</f>
        <v/>
      </c>
      <c r="D1007" t="str">
        <f>IF(DATA_INPUT!C430="","",DATA_INPUT!C430)</f>
        <v/>
      </c>
      <c r="E1007" s="27" t="str">
        <f>IF(DATA_INPUT!D430="","",DATA_INPUT!D430)</f>
        <v/>
      </c>
      <c r="F1007" t="str">
        <f t="shared" si="19"/>
        <v/>
      </c>
      <c r="G1007" t="str">
        <f t="shared" si="20"/>
        <v/>
      </c>
    </row>
    <row r="1008" spans="1:7">
      <c r="A1008" s="10" t="str">
        <f>IF(DATA_INPUT!A431="","",DATA_INPUT!A431)</f>
        <v/>
      </c>
      <c r="B1008" t="str">
        <f t="shared" si="18"/>
        <v/>
      </c>
      <c r="C1008" t="str">
        <f>IF(DATA_INPUT!B431="","",DATA_INPUT!B431)</f>
        <v/>
      </c>
      <c r="D1008" t="str">
        <f>IF(DATA_INPUT!C431="","",DATA_INPUT!C431)</f>
        <v/>
      </c>
      <c r="E1008" s="27" t="str">
        <f>IF(DATA_INPUT!D431="","",DATA_INPUT!D431)</f>
        <v/>
      </c>
      <c r="F1008" t="str">
        <f t="shared" si="19"/>
        <v/>
      </c>
      <c r="G1008" t="str">
        <f t="shared" si="20"/>
        <v/>
      </c>
    </row>
    <row r="1009" spans="1:7">
      <c r="A1009" s="10" t="str">
        <f>IF(DATA_INPUT!A432="","",DATA_INPUT!A432)</f>
        <v/>
      </c>
      <c r="B1009" t="str">
        <f t="shared" si="18"/>
        <v/>
      </c>
      <c r="C1009" t="str">
        <f>IF(DATA_INPUT!B432="","",DATA_INPUT!B432)</f>
        <v/>
      </c>
      <c r="D1009" t="str">
        <f>IF(DATA_INPUT!C432="","",DATA_INPUT!C432)</f>
        <v/>
      </c>
      <c r="E1009" s="27" t="str">
        <f>IF(DATA_INPUT!D432="","",DATA_INPUT!D432)</f>
        <v/>
      </c>
      <c r="F1009" t="str">
        <f t="shared" si="19"/>
        <v/>
      </c>
      <c r="G1009" t="str">
        <f t="shared" si="20"/>
        <v/>
      </c>
    </row>
    <row r="1010" spans="1:7">
      <c r="A1010" s="10" t="str">
        <f>IF(DATA_INPUT!A433="","",DATA_INPUT!A433)</f>
        <v/>
      </c>
      <c r="B1010" t="str">
        <f t="shared" si="18"/>
        <v/>
      </c>
      <c r="C1010" t="str">
        <f>IF(DATA_INPUT!B433="","",DATA_INPUT!B433)</f>
        <v/>
      </c>
      <c r="D1010" t="str">
        <f>IF(DATA_INPUT!C433="","",DATA_INPUT!C433)</f>
        <v/>
      </c>
      <c r="E1010" s="27" t="str">
        <f>IF(DATA_INPUT!D433="","",DATA_INPUT!D433)</f>
        <v/>
      </c>
      <c r="F1010" t="str">
        <f t="shared" si="19"/>
        <v/>
      </c>
      <c r="G1010" t="str">
        <f t="shared" si="20"/>
        <v/>
      </c>
    </row>
    <row r="1011" spans="1:7">
      <c r="A1011" s="10" t="str">
        <f>IF(DATA_INPUT!A434="","",DATA_INPUT!A434)</f>
        <v/>
      </c>
      <c r="B1011" t="str">
        <f t="shared" si="18"/>
        <v/>
      </c>
      <c r="C1011" t="str">
        <f>IF(DATA_INPUT!B434="","",DATA_INPUT!B434)</f>
        <v/>
      </c>
      <c r="D1011" t="str">
        <f>IF(DATA_INPUT!C434="","",DATA_INPUT!C434)</f>
        <v/>
      </c>
      <c r="E1011" s="27" t="str">
        <f>IF(DATA_INPUT!D434="","",DATA_INPUT!D434)</f>
        <v/>
      </c>
      <c r="F1011" t="str">
        <f t="shared" si="19"/>
        <v/>
      </c>
      <c r="G1011" t="str">
        <f t="shared" si="20"/>
        <v/>
      </c>
    </row>
    <row r="1012" spans="1:7">
      <c r="A1012" s="10" t="str">
        <f>IF(DATA_INPUT!A435="","",DATA_INPUT!A435)</f>
        <v/>
      </c>
      <c r="B1012" t="str">
        <f t="shared" si="18"/>
        <v/>
      </c>
      <c r="C1012" t="str">
        <f>IF(DATA_INPUT!B435="","",DATA_INPUT!B435)</f>
        <v/>
      </c>
      <c r="D1012" t="str">
        <f>IF(DATA_INPUT!C435="","",DATA_INPUT!C435)</f>
        <v/>
      </c>
      <c r="E1012" s="27" t="str">
        <f>IF(DATA_INPUT!D435="","",DATA_INPUT!D435)</f>
        <v/>
      </c>
      <c r="F1012" t="str">
        <f t="shared" si="19"/>
        <v/>
      </c>
      <c r="G1012" t="str">
        <f t="shared" si="20"/>
        <v/>
      </c>
    </row>
    <row r="1013" spans="1:7">
      <c r="A1013" s="10" t="str">
        <f>IF(DATA_INPUT!A436="","",DATA_INPUT!A436)</f>
        <v/>
      </c>
      <c r="B1013" t="str">
        <f t="shared" si="18"/>
        <v/>
      </c>
      <c r="C1013" t="str">
        <f>IF(DATA_INPUT!B436="","",DATA_INPUT!B436)</f>
        <v/>
      </c>
      <c r="D1013" t="str">
        <f>IF(DATA_INPUT!C436="","",DATA_INPUT!C436)</f>
        <v/>
      </c>
      <c r="E1013" s="27" t="str">
        <f>IF(DATA_INPUT!D436="","",DATA_INPUT!D436)</f>
        <v/>
      </c>
      <c r="F1013" t="str">
        <f t="shared" si="19"/>
        <v/>
      </c>
      <c r="G1013" t="str">
        <f t="shared" si="20"/>
        <v/>
      </c>
    </row>
    <row r="1014" spans="1:7">
      <c r="A1014" s="10" t="str">
        <f>IF(DATA_INPUT!A437="","",DATA_INPUT!A437)</f>
        <v/>
      </c>
      <c r="B1014" t="str">
        <f t="shared" si="18"/>
        <v/>
      </c>
      <c r="C1014" t="str">
        <f>IF(DATA_INPUT!B437="","",DATA_INPUT!B437)</f>
        <v/>
      </c>
      <c r="D1014" t="str">
        <f>IF(DATA_INPUT!C437="","",DATA_INPUT!C437)</f>
        <v/>
      </c>
      <c r="E1014" s="27" t="str">
        <f>IF(DATA_INPUT!D437="","",DATA_INPUT!D437)</f>
        <v/>
      </c>
      <c r="F1014" t="str">
        <f t="shared" si="19"/>
        <v/>
      </c>
      <c r="G1014" t="str">
        <f t="shared" si="20"/>
        <v/>
      </c>
    </row>
    <row r="1015" spans="1:7">
      <c r="A1015" s="10" t="str">
        <f>IF(DATA_INPUT!A438="","",DATA_INPUT!A438)</f>
        <v/>
      </c>
      <c r="B1015" t="str">
        <f t="shared" si="18"/>
        <v/>
      </c>
      <c r="C1015" t="str">
        <f>IF(DATA_INPUT!B438="","",DATA_INPUT!B438)</f>
        <v/>
      </c>
      <c r="D1015" t="str">
        <f>IF(DATA_INPUT!C438="","",DATA_INPUT!C438)</f>
        <v/>
      </c>
      <c r="E1015" s="27" t="str">
        <f>IF(DATA_INPUT!D438="","",DATA_INPUT!D438)</f>
        <v/>
      </c>
      <c r="F1015" t="str">
        <f t="shared" si="19"/>
        <v/>
      </c>
      <c r="G1015" t="str">
        <f t="shared" si="20"/>
        <v/>
      </c>
    </row>
    <row r="1016" spans="1:7">
      <c r="A1016" s="10" t="str">
        <f>IF(DATA_INPUT!A439="","",DATA_INPUT!A439)</f>
        <v/>
      </c>
      <c r="B1016" t="str">
        <f t="shared" si="18"/>
        <v/>
      </c>
      <c r="C1016" t="str">
        <f>IF(DATA_INPUT!B439="","",DATA_INPUT!B439)</f>
        <v/>
      </c>
      <c r="D1016" t="str">
        <f>IF(DATA_INPUT!C439="","",DATA_INPUT!C439)</f>
        <v/>
      </c>
      <c r="E1016" s="27" t="str">
        <f>IF(DATA_INPUT!D439="","",DATA_INPUT!D439)</f>
        <v/>
      </c>
      <c r="F1016" t="str">
        <f t="shared" si="19"/>
        <v/>
      </c>
      <c r="G1016" t="str">
        <f t="shared" si="20"/>
        <v/>
      </c>
    </row>
    <row r="1017" spans="1:7">
      <c r="A1017" s="10" t="str">
        <f>IF(DATA_INPUT!A440="","",DATA_INPUT!A440)</f>
        <v/>
      </c>
      <c r="B1017" t="str">
        <f t="shared" si="18"/>
        <v/>
      </c>
      <c r="C1017" t="str">
        <f>IF(DATA_INPUT!B440="","",DATA_INPUT!B440)</f>
        <v/>
      </c>
      <c r="D1017" t="str">
        <f>IF(DATA_INPUT!C440="","",DATA_INPUT!C440)</f>
        <v/>
      </c>
      <c r="E1017" s="27" t="str">
        <f>IF(DATA_INPUT!D440="","",DATA_INPUT!D440)</f>
        <v/>
      </c>
      <c r="F1017" t="str">
        <f t="shared" si="19"/>
        <v/>
      </c>
      <c r="G1017" t="str">
        <f t="shared" si="20"/>
        <v/>
      </c>
    </row>
    <row r="1018" spans="1:7">
      <c r="A1018" s="10" t="str">
        <f>IF(DATA_INPUT!A441="","",DATA_INPUT!A441)</f>
        <v/>
      </c>
      <c r="B1018" t="str">
        <f t="shared" si="18"/>
        <v/>
      </c>
      <c r="C1018" t="str">
        <f>IF(DATA_INPUT!B441="","",DATA_INPUT!B441)</f>
        <v/>
      </c>
      <c r="D1018" t="str">
        <f>IF(DATA_INPUT!C441="","",DATA_INPUT!C441)</f>
        <v/>
      </c>
      <c r="E1018" s="27" t="str">
        <f>IF(DATA_INPUT!D441="","",DATA_INPUT!D441)</f>
        <v/>
      </c>
      <c r="F1018" t="str">
        <f t="shared" si="19"/>
        <v/>
      </c>
      <c r="G1018" t="str">
        <f t="shared" si="20"/>
        <v/>
      </c>
    </row>
    <row r="1019" spans="1:7">
      <c r="A1019" s="10" t="str">
        <f>IF(DATA_INPUT!A442="","",DATA_INPUT!A442)</f>
        <v/>
      </c>
      <c r="B1019" t="str">
        <f t="shared" si="18"/>
        <v/>
      </c>
      <c r="C1019" t="str">
        <f>IF(DATA_INPUT!B442="","",DATA_INPUT!B442)</f>
        <v/>
      </c>
      <c r="D1019" t="str">
        <f>IF(DATA_INPUT!C442="","",DATA_INPUT!C442)</f>
        <v/>
      </c>
      <c r="E1019" s="27" t="str">
        <f>IF(DATA_INPUT!D442="","",DATA_INPUT!D442)</f>
        <v/>
      </c>
      <c r="F1019" t="str">
        <f t="shared" si="19"/>
        <v/>
      </c>
      <c r="G1019" t="str">
        <f t="shared" si="20"/>
        <v/>
      </c>
    </row>
    <row r="1020" spans="1:7">
      <c r="A1020" s="10" t="str">
        <f>IF(DATA_INPUT!A443="","",DATA_INPUT!A443)</f>
        <v/>
      </c>
      <c r="B1020" t="str">
        <f t="shared" si="18"/>
        <v/>
      </c>
      <c r="C1020" t="str">
        <f>IF(DATA_INPUT!B443="","",DATA_INPUT!B443)</f>
        <v/>
      </c>
      <c r="D1020" t="str">
        <f>IF(DATA_INPUT!C443="","",DATA_INPUT!C443)</f>
        <v/>
      </c>
      <c r="E1020" s="27" t="str">
        <f>IF(DATA_INPUT!D443="","",DATA_INPUT!D443)</f>
        <v/>
      </c>
      <c r="F1020" t="str">
        <f t="shared" si="19"/>
        <v/>
      </c>
      <c r="G1020" t="str">
        <f t="shared" si="20"/>
        <v/>
      </c>
    </row>
    <row r="1021" spans="1:7">
      <c r="A1021" s="10" t="str">
        <f>IF(DATA_INPUT!A444="","",DATA_INPUT!A444)</f>
        <v/>
      </c>
      <c r="B1021" t="str">
        <f t="shared" si="18"/>
        <v/>
      </c>
      <c r="C1021" t="str">
        <f>IF(DATA_INPUT!B444="","",DATA_INPUT!B444)</f>
        <v/>
      </c>
      <c r="D1021" t="str">
        <f>IF(DATA_INPUT!C444="","",DATA_INPUT!C444)</f>
        <v/>
      </c>
      <c r="E1021" s="27" t="str">
        <f>IF(DATA_INPUT!D444="","",DATA_INPUT!D444)</f>
        <v/>
      </c>
      <c r="F1021" t="str">
        <f t="shared" si="19"/>
        <v/>
      </c>
      <c r="G1021" t="str">
        <f t="shared" si="20"/>
        <v/>
      </c>
    </row>
    <row r="1022" spans="1:7">
      <c r="A1022" s="10" t="str">
        <f>IF(DATA_INPUT!A445="","",DATA_INPUT!A445)</f>
        <v/>
      </c>
      <c r="B1022" t="str">
        <f t="shared" si="18"/>
        <v/>
      </c>
      <c r="C1022" t="str">
        <f>IF(DATA_INPUT!B445="","",DATA_INPUT!B445)</f>
        <v/>
      </c>
      <c r="D1022" t="str">
        <f>IF(DATA_INPUT!C445="","",DATA_INPUT!C445)</f>
        <v/>
      </c>
      <c r="E1022" s="27" t="str">
        <f>IF(DATA_INPUT!D445="","",DATA_INPUT!D445)</f>
        <v/>
      </c>
      <c r="F1022" t="str">
        <f t="shared" si="19"/>
        <v/>
      </c>
      <c r="G1022" t="str">
        <f t="shared" si="20"/>
        <v/>
      </c>
    </row>
    <row r="1023" spans="1:7">
      <c r="A1023" s="10" t="str">
        <f>IF(DATA_INPUT!A446="","",DATA_INPUT!A446)</f>
        <v/>
      </c>
      <c r="B1023" t="str">
        <f t="shared" si="18"/>
        <v/>
      </c>
      <c r="C1023" t="str">
        <f>IF(DATA_INPUT!B446="","",DATA_INPUT!B446)</f>
        <v/>
      </c>
      <c r="D1023" t="str">
        <f>IF(DATA_INPUT!C446="","",DATA_INPUT!C446)</f>
        <v/>
      </c>
      <c r="E1023" s="27" t="str">
        <f>IF(DATA_INPUT!D446="","",DATA_INPUT!D446)</f>
        <v/>
      </c>
      <c r="F1023" t="str">
        <f t="shared" si="19"/>
        <v/>
      </c>
      <c r="G1023" t="str">
        <f t="shared" si="20"/>
        <v/>
      </c>
    </row>
    <row r="1024" spans="1:7">
      <c r="A1024" s="10" t="str">
        <f>IF(DATA_INPUT!A447="","",DATA_INPUT!A447)</f>
        <v/>
      </c>
      <c r="B1024" t="str">
        <f t="shared" si="18"/>
        <v/>
      </c>
      <c r="C1024" t="str">
        <f>IF(DATA_INPUT!B447="","",DATA_INPUT!B447)</f>
        <v/>
      </c>
      <c r="D1024" t="str">
        <f>IF(DATA_INPUT!C447="","",DATA_INPUT!C447)</f>
        <v/>
      </c>
      <c r="E1024" s="27" t="str">
        <f>IF(DATA_INPUT!D447="","",DATA_INPUT!D447)</f>
        <v/>
      </c>
      <c r="F1024" t="str">
        <f t="shared" si="19"/>
        <v/>
      </c>
      <c r="G1024" t="str">
        <f t="shared" si="20"/>
        <v/>
      </c>
    </row>
    <row r="1025" spans="1:7">
      <c r="A1025" s="10" t="str">
        <f>IF(DATA_INPUT!A448="","",DATA_INPUT!A448)</f>
        <v/>
      </c>
      <c r="B1025" t="str">
        <f t="shared" si="18"/>
        <v/>
      </c>
      <c r="C1025" t="str">
        <f>IF(DATA_INPUT!B448="","",DATA_INPUT!B448)</f>
        <v/>
      </c>
      <c r="D1025" t="str">
        <f>IF(DATA_INPUT!C448="","",DATA_INPUT!C448)</f>
        <v/>
      </c>
      <c r="E1025" s="27" t="str">
        <f>IF(DATA_INPUT!D448="","",DATA_INPUT!D448)</f>
        <v/>
      </c>
      <c r="F1025" t="str">
        <f t="shared" si="19"/>
        <v/>
      </c>
      <c r="G1025" t="str">
        <f t="shared" si="20"/>
        <v/>
      </c>
    </row>
    <row r="1026" spans="1:7">
      <c r="A1026" s="10" t="str">
        <f>IF(DATA_INPUT!A449="","",DATA_INPUT!A449)</f>
        <v/>
      </c>
      <c r="B1026" t="str">
        <f t="shared" si="18"/>
        <v/>
      </c>
      <c r="C1026" t="str">
        <f>IF(DATA_INPUT!B449="","",DATA_INPUT!B449)</f>
        <v/>
      </c>
      <c r="D1026" t="str">
        <f>IF(DATA_INPUT!C449="","",DATA_INPUT!C449)</f>
        <v/>
      </c>
      <c r="E1026" s="27" t="str">
        <f>IF(DATA_INPUT!D449="","",DATA_INPUT!D449)</f>
        <v/>
      </c>
      <c r="F1026" t="str">
        <f t="shared" si="19"/>
        <v/>
      </c>
      <c r="G1026" t="str">
        <f t="shared" si="20"/>
        <v/>
      </c>
    </row>
    <row r="1027" spans="1:7">
      <c r="A1027" s="10" t="str">
        <f>IF(DATA_INPUT!A450="","",DATA_INPUT!A450)</f>
        <v/>
      </c>
      <c r="B1027" t="str">
        <f t="shared" si="18"/>
        <v/>
      </c>
      <c r="C1027" t="str">
        <f>IF(DATA_INPUT!B450="","",DATA_INPUT!B450)</f>
        <v/>
      </c>
      <c r="D1027" t="str">
        <f>IF(DATA_INPUT!C450="","",DATA_INPUT!C450)</f>
        <v/>
      </c>
      <c r="E1027" s="27" t="str">
        <f>IF(DATA_INPUT!D450="","",DATA_INPUT!D450)</f>
        <v/>
      </c>
      <c r="F1027" t="str">
        <f t="shared" si="19"/>
        <v/>
      </c>
      <c r="G1027" t="str">
        <f t="shared" si="20"/>
        <v/>
      </c>
    </row>
    <row r="1028" spans="1:7">
      <c r="A1028" s="10" t="str">
        <f>IF(DATA_INPUT!A451="","",DATA_INPUT!A451)</f>
        <v/>
      </c>
      <c r="B1028" t="str">
        <f t="shared" ref="B1028:B1091" si="21">IF(A1028="","",TEXT(A1028,"dddd"))</f>
        <v/>
      </c>
      <c r="C1028" t="str">
        <f>IF(DATA_INPUT!B451="","",DATA_INPUT!B451)</f>
        <v/>
      </c>
      <c r="D1028" t="str">
        <f>IF(DATA_INPUT!C451="","",DATA_INPUT!C451)</f>
        <v/>
      </c>
      <c r="E1028" s="27" t="str">
        <f>IF(DATA_INPUT!D451="","",DATA_INPUT!D451)</f>
        <v/>
      </c>
      <c r="F1028" t="str">
        <f t="shared" ref="F1028:F1091" si="22">IF(A1028="","",TEXT(A1028,"mmm yyyy"))</f>
        <v/>
      </c>
      <c r="G1028" t="str">
        <f t="shared" ref="G1028:G1091" si="23">IF(A1028="","",WEEKNUM(A1028))</f>
        <v/>
      </c>
    </row>
    <row r="1029" spans="1:7">
      <c r="A1029" s="10" t="str">
        <f>IF(DATA_INPUT!A452="","",DATA_INPUT!A452)</f>
        <v/>
      </c>
      <c r="B1029" t="str">
        <f t="shared" si="21"/>
        <v/>
      </c>
      <c r="C1029" t="str">
        <f>IF(DATA_INPUT!B452="","",DATA_INPUT!B452)</f>
        <v/>
      </c>
      <c r="D1029" t="str">
        <f>IF(DATA_INPUT!C452="","",DATA_INPUT!C452)</f>
        <v/>
      </c>
      <c r="E1029" s="27" t="str">
        <f>IF(DATA_INPUT!D452="","",DATA_INPUT!D452)</f>
        <v/>
      </c>
      <c r="F1029" t="str">
        <f t="shared" si="22"/>
        <v/>
      </c>
      <c r="G1029" t="str">
        <f t="shared" si="23"/>
        <v/>
      </c>
    </row>
    <row r="1030" spans="1:7">
      <c r="A1030" s="10" t="str">
        <f>IF(DATA_INPUT!A453="","",DATA_INPUT!A453)</f>
        <v/>
      </c>
      <c r="B1030" t="str">
        <f t="shared" si="21"/>
        <v/>
      </c>
      <c r="C1030" t="str">
        <f>IF(DATA_INPUT!B453="","",DATA_INPUT!B453)</f>
        <v/>
      </c>
      <c r="D1030" t="str">
        <f>IF(DATA_INPUT!C453="","",DATA_INPUT!C453)</f>
        <v/>
      </c>
      <c r="E1030" s="27" t="str">
        <f>IF(DATA_INPUT!D453="","",DATA_INPUT!D453)</f>
        <v/>
      </c>
      <c r="F1030" t="str">
        <f t="shared" si="22"/>
        <v/>
      </c>
      <c r="G1030" t="str">
        <f t="shared" si="23"/>
        <v/>
      </c>
    </row>
    <row r="1031" spans="1:7">
      <c r="A1031" s="10" t="str">
        <f>IF(DATA_INPUT!A454="","",DATA_INPUT!A454)</f>
        <v/>
      </c>
      <c r="B1031" t="str">
        <f t="shared" si="21"/>
        <v/>
      </c>
      <c r="C1031" t="str">
        <f>IF(DATA_INPUT!B454="","",DATA_INPUT!B454)</f>
        <v/>
      </c>
      <c r="D1031" t="str">
        <f>IF(DATA_INPUT!C454="","",DATA_INPUT!C454)</f>
        <v/>
      </c>
      <c r="E1031" s="27" t="str">
        <f>IF(DATA_INPUT!D454="","",DATA_INPUT!D454)</f>
        <v/>
      </c>
      <c r="F1031" t="str">
        <f t="shared" si="22"/>
        <v/>
      </c>
      <c r="G1031" t="str">
        <f t="shared" si="23"/>
        <v/>
      </c>
    </row>
    <row r="1032" spans="1:7">
      <c r="A1032" s="10" t="str">
        <f>IF(DATA_INPUT!A455="","",DATA_INPUT!A455)</f>
        <v/>
      </c>
      <c r="B1032" t="str">
        <f t="shared" si="21"/>
        <v/>
      </c>
      <c r="C1032" t="str">
        <f>IF(DATA_INPUT!B455="","",DATA_INPUT!B455)</f>
        <v/>
      </c>
      <c r="D1032" t="str">
        <f>IF(DATA_INPUT!C455="","",DATA_INPUT!C455)</f>
        <v/>
      </c>
      <c r="E1032" s="27" t="str">
        <f>IF(DATA_INPUT!D455="","",DATA_INPUT!D455)</f>
        <v/>
      </c>
      <c r="F1032" t="str">
        <f t="shared" si="22"/>
        <v/>
      </c>
      <c r="G1032" t="str">
        <f t="shared" si="23"/>
        <v/>
      </c>
    </row>
    <row r="1033" spans="1:7">
      <c r="A1033" s="10" t="str">
        <f>IF(DATA_INPUT!A456="","",DATA_INPUT!A456)</f>
        <v/>
      </c>
      <c r="B1033" t="str">
        <f t="shared" si="21"/>
        <v/>
      </c>
      <c r="C1033" t="str">
        <f>IF(DATA_INPUT!B456="","",DATA_INPUT!B456)</f>
        <v/>
      </c>
      <c r="D1033" t="str">
        <f>IF(DATA_INPUT!C456="","",DATA_INPUT!C456)</f>
        <v/>
      </c>
      <c r="E1033" s="27" t="str">
        <f>IF(DATA_INPUT!D456="","",DATA_INPUT!D456)</f>
        <v/>
      </c>
      <c r="F1033" t="str">
        <f t="shared" si="22"/>
        <v/>
      </c>
      <c r="G1033" t="str">
        <f t="shared" si="23"/>
        <v/>
      </c>
    </row>
    <row r="1034" spans="1:7">
      <c r="A1034" s="10" t="str">
        <f>IF(DATA_INPUT!A457="","",DATA_INPUT!A457)</f>
        <v/>
      </c>
      <c r="B1034" t="str">
        <f t="shared" si="21"/>
        <v/>
      </c>
      <c r="C1034" t="str">
        <f>IF(DATA_INPUT!B457="","",DATA_INPUT!B457)</f>
        <v/>
      </c>
      <c r="D1034" t="str">
        <f>IF(DATA_INPUT!C457="","",DATA_INPUT!C457)</f>
        <v/>
      </c>
      <c r="E1034" s="27" t="str">
        <f>IF(DATA_INPUT!D457="","",DATA_INPUT!D457)</f>
        <v/>
      </c>
      <c r="F1034" t="str">
        <f t="shared" si="22"/>
        <v/>
      </c>
      <c r="G1034" t="str">
        <f t="shared" si="23"/>
        <v/>
      </c>
    </row>
    <row r="1035" spans="1:7">
      <c r="A1035" s="10" t="str">
        <f>IF(DATA_INPUT!A458="","",DATA_INPUT!A458)</f>
        <v/>
      </c>
      <c r="B1035" t="str">
        <f t="shared" si="21"/>
        <v/>
      </c>
      <c r="C1035" t="str">
        <f>IF(DATA_INPUT!B458="","",DATA_INPUT!B458)</f>
        <v/>
      </c>
      <c r="D1035" t="str">
        <f>IF(DATA_INPUT!C458="","",DATA_INPUT!C458)</f>
        <v/>
      </c>
      <c r="E1035" s="27" t="str">
        <f>IF(DATA_INPUT!D458="","",DATA_INPUT!D458)</f>
        <v/>
      </c>
      <c r="F1035" t="str">
        <f t="shared" si="22"/>
        <v/>
      </c>
      <c r="G1035" t="str">
        <f t="shared" si="23"/>
        <v/>
      </c>
    </row>
    <row r="1036" spans="1:7">
      <c r="A1036" s="10" t="str">
        <f>IF(DATA_INPUT!A459="","",DATA_INPUT!A459)</f>
        <v/>
      </c>
      <c r="B1036" t="str">
        <f t="shared" si="21"/>
        <v/>
      </c>
      <c r="C1036" t="str">
        <f>IF(DATA_INPUT!B459="","",DATA_INPUT!B459)</f>
        <v/>
      </c>
      <c r="D1036" t="str">
        <f>IF(DATA_INPUT!C459="","",DATA_INPUT!C459)</f>
        <v/>
      </c>
      <c r="E1036" s="27" t="str">
        <f>IF(DATA_INPUT!D459="","",DATA_INPUT!D459)</f>
        <v/>
      </c>
      <c r="F1036" t="str">
        <f t="shared" si="22"/>
        <v/>
      </c>
      <c r="G1036" t="str">
        <f t="shared" si="23"/>
        <v/>
      </c>
    </row>
    <row r="1037" spans="1:7">
      <c r="A1037" s="10" t="str">
        <f>IF(DATA_INPUT!A460="","",DATA_INPUT!A460)</f>
        <v/>
      </c>
      <c r="B1037" t="str">
        <f t="shared" si="21"/>
        <v/>
      </c>
      <c r="C1037" t="str">
        <f>IF(DATA_INPUT!B460="","",DATA_INPUT!B460)</f>
        <v/>
      </c>
      <c r="D1037" t="str">
        <f>IF(DATA_INPUT!C460="","",DATA_INPUT!C460)</f>
        <v/>
      </c>
      <c r="E1037" s="27" t="str">
        <f>IF(DATA_INPUT!D460="","",DATA_INPUT!D460)</f>
        <v/>
      </c>
      <c r="F1037" t="str">
        <f t="shared" si="22"/>
        <v/>
      </c>
      <c r="G1037" t="str">
        <f t="shared" si="23"/>
        <v/>
      </c>
    </row>
    <row r="1038" spans="1:7">
      <c r="A1038" s="10" t="str">
        <f>IF(DATA_INPUT!A461="","",DATA_INPUT!A461)</f>
        <v/>
      </c>
      <c r="B1038" t="str">
        <f t="shared" si="21"/>
        <v/>
      </c>
      <c r="C1038" t="str">
        <f>IF(DATA_INPUT!B461="","",DATA_INPUT!B461)</f>
        <v/>
      </c>
      <c r="D1038" t="str">
        <f>IF(DATA_INPUT!C461="","",DATA_INPUT!C461)</f>
        <v/>
      </c>
      <c r="E1038" s="27" t="str">
        <f>IF(DATA_INPUT!D461="","",DATA_INPUT!D461)</f>
        <v/>
      </c>
      <c r="F1038" t="str">
        <f t="shared" si="22"/>
        <v/>
      </c>
      <c r="G1038" t="str">
        <f t="shared" si="23"/>
        <v/>
      </c>
    </row>
    <row r="1039" spans="1:7">
      <c r="A1039" s="10" t="str">
        <f>IF(DATA_INPUT!A462="","",DATA_INPUT!A462)</f>
        <v/>
      </c>
      <c r="B1039" t="str">
        <f t="shared" si="21"/>
        <v/>
      </c>
      <c r="C1039" t="str">
        <f>IF(DATA_INPUT!B462="","",DATA_INPUT!B462)</f>
        <v/>
      </c>
      <c r="D1039" t="str">
        <f>IF(DATA_INPUT!C462="","",DATA_INPUT!C462)</f>
        <v/>
      </c>
      <c r="E1039" s="27" t="str">
        <f>IF(DATA_INPUT!D462="","",DATA_INPUT!D462)</f>
        <v/>
      </c>
      <c r="F1039" t="str">
        <f t="shared" si="22"/>
        <v/>
      </c>
      <c r="G1039" t="str">
        <f t="shared" si="23"/>
        <v/>
      </c>
    </row>
    <row r="1040" spans="1:7">
      <c r="A1040" s="10" t="str">
        <f>IF(DATA_INPUT!A463="","",DATA_INPUT!A463)</f>
        <v/>
      </c>
      <c r="B1040" t="str">
        <f t="shared" si="21"/>
        <v/>
      </c>
      <c r="C1040" t="str">
        <f>IF(DATA_INPUT!B463="","",DATA_INPUT!B463)</f>
        <v/>
      </c>
      <c r="D1040" t="str">
        <f>IF(DATA_INPUT!C463="","",DATA_INPUT!C463)</f>
        <v/>
      </c>
      <c r="E1040" s="27" t="str">
        <f>IF(DATA_INPUT!D463="","",DATA_INPUT!D463)</f>
        <v/>
      </c>
      <c r="F1040" t="str">
        <f t="shared" si="22"/>
        <v/>
      </c>
      <c r="G1040" t="str">
        <f t="shared" si="23"/>
        <v/>
      </c>
    </row>
    <row r="1041" spans="1:7">
      <c r="A1041" s="10" t="str">
        <f>IF(DATA_INPUT!A464="","",DATA_INPUT!A464)</f>
        <v/>
      </c>
      <c r="B1041" t="str">
        <f t="shared" si="21"/>
        <v/>
      </c>
      <c r="C1041" t="str">
        <f>IF(DATA_INPUT!B464="","",DATA_INPUT!B464)</f>
        <v/>
      </c>
      <c r="D1041" t="str">
        <f>IF(DATA_INPUT!C464="","",DATA_INPUT!C464)</f>
        <v/>
      </c>
      <c r="E1041" s="27" t="str">
        <f>IF(DATA_INPUT!D464="","",DATA_INPUT!D464)</f>
        <v/>
      </c>
      <c r="F1041" t="str">
        <f t="shared" si="22"/>
        <v/>
      </c>
      <c r="G1041" t="str">
        <f t="shared" si="23"/>
        <v/>
      </c>
    </row>
    <row r="1042" spans="1:7">
      <c r="A1042" s="10" t="str">
        <f>IF(DATA_INPUT!A465="","",DATA_INPUT!A465)</f>
        <v/>
      </c>
      <c r="B1042" t="str">
        <f t="shared" si="21"/>
        <v/>
      </c>
      <c r="C1042" t="str">
        <f>IF(DATA_INPUT!B465="","",DATA_INPUT!B465)</f>
        <v/>
      </c>
      <c r="D1042" t="str">
        <f>IF(DATA_INPUT!C465="","",DATA_INPUT!C465)</f>
        <v/>
      </c>
      <c r="E1042" s="27" t="str">
        <f>IF(DATA_INPUT!D465="","",DATA_INPUT!D465)</f>
        <v/>
      </c>
      <c r="F1042" t="str">
        <f t="shared" si="22"/>
        <v/>
      </c>
      <c r="G1042" t="str">
        <f t="shared" si="23"/>
        <v/>
      </c>
    </row>
    <row r="1043" spans="1:7">
      <c r="A1043" s="10" t="str">
        <f>IF(DATA_INPUT!A466="","",DATA_INPUT!A466)</f>
        <v/>
      </c>
      <c r="B1043" t="str">
        <f t="shared" si="21"/>
        <v/>
      </c>
      <c r="C1043" t="str">
        <f>IF(DATA_INPUT!B466="","",DATA_INPUT!B466)</f>
        <v/>
      </c>
      <c r="D1043" t="str">
        <f>IF(DATA_INPUT!C466="","",DATA_INPUT!C466)</f>
        <v/>
      </c>
      <c r="E1043" s="27" t="str">
        <f>IF(DATA_INPUT!D466="","",DATA_INPUT!D466)</f>
        <v/>
      </c>
      <c r="F1043" t="str">
        <f t="shared" si="22"/>
        <v/>
      </c>
      <c r="G1043" t="str">
        <f t="shared" si="23"/>
        <v/>
      </c>
    </row>
    <row r="1044" spans="1:7">
      <c r="A1044" s="10" t="str">
        <f>IF(DATA_INPUT!A467="","",DATA_INPUT!A467)</f>
        <v/>
      </c>
      <c r="B1044" t="str">
        <f t="shared" si="21"/>
        <v/>
      </c>
      <c r="C1044" t="str">
        <f>IF(DATA_INPUT!B467="","",DATA_INPUT!B467)</f>
        <v/>
      </c>
      <c r="D1044" t="str">
        <f>IF(DATA_INPUT!C467="","",DATA_INPUT!C467)</f>
        <v/>
      </c>
      <c r="E1044" s="27" t="str">
        <f>IF(DATA_INPUT!D467="","",DATA_INPUT!D467)</f>
        <v/>
      </c>
      <c r="F1044" t="str">
        <f t="shared" si="22"/>
        <v/>
      </c>
      <c r="G1044" t="str">
        <f t="shared" si="23"/>
        <v/>
      </c>
    </row>
    <row r="1045" spans="1:7">
      <c r="A1045" s="10" t="str">
        <f>IF(DATA_INPUT!A468="","",DATA_INPUT!A468)</f>
        <v/>
      </c>
      <c r="B1045" t="str">
        <f t="shared" si="21"/>
        <v/>
      </c>
      <c r="C1045" t="str">
        <f>IF(DATA_INPUT!B468="","",DATA_INPUT!B468)</f>
        <v/>
      </c>
      <c r="D1045" t="str">
        <f>IF(DATA_INPUT!C468="","",DATA_INPUT!C468)</f>
        <v/>
      </c>
      <c r="E1045" s="27" t="str">
        <f>IF(DATA_INPUT!D468="","",DATA_INPUT!D468)</f>
        <v/>
      </c>
      <c r="F1045" t="str">
        <f t="shared" si="22"/>
        <v/>
      </c>
      <c r="G1045" t="str">
        <f t="shared" si="23"/>
        <v/>
      </c>
    </row>
    <row r="1046" spans="1:7">
      <c r="A1046" s="10" t="str">
        <f>IF(DATA_INPUT!A469="","",DATA_INPUT!A469)</f>
        <v/>
      </c>
      <c r="B1046" t="str">
        <f t="shared" si="21"/>
        <v/>
      </c>
      <c r="C1046" t="str">
        <f>IF(DATA_INPUT!B469="","",DATA_INPUT!B469)</f>
        <v/>
      </c>
      <c r="D1046" t="str">
        <f>IF(DATA_INPUT!C469="","",DATA_INPUT!C469)</f>
        <v/>
      </c>
      <c r="E1046" s="27" t="str">
        <f>IF(DATA_INPUT!D469="","",DATA_INPUT!D469)</f>
        <v/>
      </c>
      <c r="F1046" t="str">
        <f t="shared" si="22"/>
        <v/>
      </c>
      <c r="G1046" t="str">
        <f t="shared" si="23"/>
        <v/>
      </c>
    </row>
    <row r="1047" spans="1:7">
      <c r="A1047" s="10" t="str">
        <f>IF(DATA_INPUT!A470="","",DATA_INPUT!A470)</f>
        <v/>
      </c>
      <c r="B1047" t="str">
        <f t="shared" si="21"/>
        <v/>
      </c>
      <c r="C1047" t="str">
        <f>IF(DATA_INPUT!B470="","",DATA_INPUT!B470)</f>
        <v/>
      </c>
      <c r="D1047" t="str">
        <f>IF(DATA_INPUT!C470="","",DATA_INPUT!C470)</f>
        <v/>
      </c>
      <c r="E1047" s="27" t="str">
        <f>IF(DATA_INPUT!D470="","",DATA_INPUT!D470)</f>
        <v/>
      </c>
      <c r="F1047" t="str">
        <f t="shared" si="22"/>
        <v/>
      </c>
      <c r="G1047" t="str">
        <f t="shared" si="23"/>
        <v/>
      </c>
    </row>
    <row r="1048" spans="1:7">
      <c r="A1048" s="10" t="str">
        <f>IF(DATA_INPUT!A471="","",DATA_INPUT!A471)</f>
        <v/>
      </c>
      <c r="B1048" t="str">
        <f t="shared" si="21"/>
        <v/>
      </c>
      <c r="C1048" t="str">
        <f>IF(DATA_INPUT!B471="","",DATA_INPUT!B471)</f>
        <v/>
      </c>
      <c r="D1048" t="str">
        <f>IF(DATA_INPUT!C471="","",DATA_INPUT!C471)</f>
        <v/>
      </c>
      <c r="E1048" s="27" t="str">
        <f>IF(DATA_INPUT!D471="","",DATA_INPUT!D471)</f>
        <v/>
      </c>
      <c r="F1048" t="str">
        <f t="shared" si="22"/>
        <v/>
      </c>
      <c r="G1048" t="str">
        <f t="shared" si="23"/>
        <v/>
      </c>
    </row>
    <row r="1049" spans="1:7">
      <c r="A1049" s="10" t="str">
        <f>IF(DATA_INPUT!A472="","",DATA_INPUT!A472)</f>
        <v/>
      </c>
      <c r="B1049" t="str">
        <f t="shared" si="21"/>
        <v/>
      </c>
      <c r="C1049" t="str">
        <f>IF(DATA_INPUT!B472="","",DATA_INPUT!B472)</f>
        <v/>
      </c>
      <c r="D1049" t="str">
        <f>IF(DATA_INPUT!C472="","",DATA_INPUT!C472)</f>
        <v/>
      </c>
      <c r="E1049" s="27" t="str">
        <f>IF(DATA_INPUT!D472="","",DATA_INPUT!D472)</f>
        <v/>
      </c>
      <c r="F1049" t="str">
        <f t="shared" si="22"/>
        <v/>
      </c>
      <c r="G1049" t="str">
        <f t="shared" si="23"/>
        <v/>
      </c>
    </row>
    <row r="1050" spans="1:7">
      <c r="A1050" s="10" t="str">
        <f>IF(DATA_INPUT!A473="","",DATA_INPUT!A473)</f>
        <v/>
      </c>
      <c r="B1050" t="str">
        <f t="shared" si="21"/>
        <v/>
      </c>
      <c r="C1050" t="str">
        <f>IF(DATA_INPUT!B473="","",DATA_INPUT!B473)</f>
        <v/>
      </c>
      <c r="D1050" t="str">
        <f>IF(DATA_INPUT!C473="","",DATA_INPUT!C473)</f>
        <v/>
      </c>
      <c r="E1050" s="27" t="str">
        <f>IF(DATA_INPUT!D473="","",DATA_INPUT!D473)</f>
        <v/>
      </c>
      <c r="F1050" t="str">
        <f t="shared" si="22"/>
        <v/>
      </c>
      <c r="G1050" t="str">
        <f t="shared" si="23"/>
        <v/>
      </c>
    </row>
    <row r="1051" spans="1:7">
      <c r="A1051" s="10" t="str">
        <f>IF(DATA_INPUT!A474="","",DATA_INPUT!A474)</f>
        <v/>
      </c>
      <c r="B1051" t="str">
        <f t="shared" si="21"/>
        <v/>
      </c>
      <c r="C1051" t="str">
        <f>IF(DATA_INPUT!B474="","",DATA_INPUT!B474)</f>
        <v/>
      </c>
      <c r="D1051" t="str">
        <f>IF(DATA_INPUT!C474="","",DATA_INPUT!C474)</f>
        <v/>
      </c>
      <c r="E1051" s="27" t="str">
        <f>IF(DATA_INPUT!D474="","",DATA_INPUT!D474)</f>
        <v/>
      </c>
      <c r="F1051" t="str">
        <f t="shared" si="22"/>
        <v/>
      </c>
      <c r="G1051" t="str">
        <f t="shared" si="23"/>
        <v/>
      </c>
    </row>
    <row r="1052" spans="1:7">
      <c r="A1052" s="10" t="str">
        <f>IF(DATA_INPUT!A475="","",DATA_INPUT!A475)</f>
        <v/>
      </c>
      <c r="B1052" t="str">
        <f t="shared" si="21"/>
        <v/>
      </c>
      <c r="C1052" t="str">
        <f>IF(DATA_INPUT!B475="","",DATA_INPUT!B475)</f>
        <v/>
      </c>
      <c r="D1052" t="str">
        <f>IF(DATA_INPUT!C475="","",DATA_INPUT!C475)</f>
        <v/>
      </c>
      <c r="E1052" s="27" t="str">
        <f>IF(DATA_INPUT!D475="","",DATA_INPUT!D475)</f>
        <v/>
      </c>
      <c r="F1052" t="str">
        <f t="shared" si="22"/>
        <v/>
      </c>
      <c r="G1052" t="str">
        <f t="shared" si="23"/>
        <v/>
      </c>
    </row>
    <row r="1053" spans="1:7">
      <c r="A1053" s="10" t="str">
        <f>IF(DATA_INPUT!A476="","",DATA_INPUT!A476)</f>
        <v/>
      </c>
      <c r="B1053" t="str">
        <f t="shared" si="21"/>
        <v/>
      </c>
      <c r="C1053" t="str">
        <f>IF(DATA_INPUT!B476="","",DATA_INPUT!B476)</f>
        <v/>
      </c>
      <c r="D1053" t="str">
        <f>IF(DATA_INPUT!C476="","",DATA_INPUT!C476)</f>
        <v/>
      </c>
      <c r="E1053" s="27" t="str">
        <f>IF(DATA_INPUT!D476="","",DATA_INPUT!D476)</f>
        <v/>
      </c>
      <c r="F1053" t="str">
        <f t="shared" si="22"/>
        <v/>
      </c>
      <c r="G1053" t="str">
        <f t="shared" si="23"/>
        <v/>
      </c>
    </row>
    <row r="1054" spans="1:7">
      <c r="A1054" s="10" t="str">
        <f>IF(DATA_INPUT!A477="","",DATA_INPUT!A477)</f>
        <v/>
      </c>
      <c r="B1054" t="str">
        <f t="shared" si="21"/>
        <v/>
      </c>
      <c r="C1054" t="str">
        <f>IF(DATA_INPUT!B477="","",DATA_INPUT!B477)</f>
        <v/>
      </c>
      <c r="D1054" t="str">
        <f>IF(DATA_INPUT!C477="","",DATA_INPUT!C477)</f>
        <v/>
      </c>
      <c r="E1054" s="27" t="str">
        <f>IF(DATA_INPUT!D477="","",DATA_INPUT!D477)</f>
        <v/>
      </c>
      <c r="F1054" t="str">
        <f t="shared" si="22"/>
        <v/>
      </c>
      <c r="G1054" t="str">
        <f t="shared" si="23"/>
        <v/>
      </c>
    </row>
    <row r="1055" spans="1:7">
      <c r="A1055" s="10" t="str">
        <f>IF(DATA_INPUT!A478="","",DATA_INPUT!A478)</f>
        <v/>
      </c>
      <c r="B1055" t="str">
        <f t="shared" si="21"/>
        <v/>
      </c>
      <c r="C1055" t="str">
        <f>IF(DATA_INPUT!B478="","",DATA_INPUT!B478)</f>
        <v/>
      </c>
      <c r="D1055" t="str">
        <f>IF(DATA_INPUT!C478="","",DATA_INPUT!C478)</f>
        <v/>
      </c>
      <c r="E1055" s="27" t="str">
        <f>IF(DATA_INPUT!D478="","",DATA_INPUT!D478)</f>
        <v/>
      </c>
      <c r="F1055" t="str">
        <f t="shared" si="22"/>
        <v/>
      </c>
      <c r="G1055" t="str">
        <f t="shared" si="23"/>
        <v/>
      </c>
    </row>
    <row r="1056" spans="1:7">
      <c r="A1056" s="10" t="str">
        <f>IF(DATA_INPUT!A479="","",DATA_INPUT!A479)</f>
        <v/>
      </c>
      <c r="B1056" t="str">
        <f t="shared" si="21"/>
        <v/>
      </c>
      <c r="C1056" t="str">
        <f>IF(DATA_INPUT!B479="","",DATA_INPUT!B479)</f>
        <v/>
      </c>
      <c r="D1056" t="str">
        <f>IF(DATA_INPUT!C479="","",DATA_INPUT!C479)</f>
        <v/>
      </c>
      <c r="E1056" s="27" t="str">
        <f>IF(DATA_INPUT!D479="","",DATA_INPUT!D479)</f>
        <v/>
      </c>
      <c r="F1056" t="str">
        <f t="shared" si="22"/>
        <v/>
      </c>
      <c r="G1056" t="str">
        <f t="shared" si="23"/>
        <v/>
      </c>
    </row>
    <row r="1057" spans="1:7">
      <c r="A1057" s="10" t="str">
        <f>IF(DATA_INPUT!A480="","",DATA_INPUT!A480)</f>
        <v/>
      </c>
      <c r="B1057" t="str">
        <f t="shared" si="21"/>
        <v/>
      </c>
      <c r="C1057" t="str">
        <f>IF(DATA_INPUT!B480="","",DATA_INPUT!B480)</f>
        <v/>
      </c>
      <c r="D1057" t="str">
        <f>IF(DATA_INPUT!C480="","",DATA_INPUT!C480)</f>
        <v/>
      </c>
      <c r="E1057" s="27" t="str">
        <f>IF(DATA_INPUT!D480="","",DATA_INPUT!D480)</f>
        <v/>
      </c>
      <c r="F1057" t="str">
        <f t="shared" si="22"/>
        <v/>
      </c>
      <c r="G1057" t="str">
        <f t="shared" si="23"/>
        <v/>
      </c>
    </row>
    <row r="1058" spans="1:7">
      <c r="A1058" s="10" t="str">
        <f>IF(DATA_INPUT!A481="","",DATA_INPUT!A481)</f>
        <v/>
      </c>
      <c r="B1058" t="str">
        <f t="shared" si="21"/>
        <v/>
      </c>
      <c r="C1058" t="str">
        <f>IF(DATA_INPUT!B481="","",DATA_INPUT!B481)</f>
        <v/>
      </c>
      <c r="D1058" t="str">
        <f>IF(DATA_INPUT!C481="","",DATA_INPUT!C481)</f>
        <v/>
      </c>
      <c r="E1058" s="27" t="str">
        <f>IF(DATA_INPUT!D481="","",DATA_INPUT!D481)</f>
        <v/>
      </c>
      <c r="F1058" t="str">
        <f t="shared" si="22"/>
        <v/>
      </c>
      <c r="G1058" t="str">
        <f t="shared" si="23"/>
        <v/>
      </c>
    </row>
    <row r="1059" spans="1:7">
      <c r="A1059" s="10" t="str">
        <f>IF(DATA_INPUT!A482="","",DATA_INPUT!A482)</f>
        <v/>
      </c>
      <c r="B1059" t="str">
        <f t="shared" si="21"/>
        <v/>
      </c>
      <c r="C1059" t="str">
        <f>IF(DATA_INPUT!B482="","",DATA_INPUT!B482)</f>
        <v/>
      </c>
      <c r="D1059" t="str">
        <f>IF(DATA_INPUT!C482="","",DATA_INPUT!C482)</f>
        <v/>
      </c>
      <c r="E1059" s="27" t="str">
        <f>IF(DATA_INPUT!D482="","",DATA_INPUT!D482)</f>
        <v/>
      </c>
      <c r="F1059" t="str">
        <f t="shared" si="22"/>
        <v/>
      </c>
      <c r="G1059" t="str">
        <f t="shared" si="23"/>
        <v/>
      </c>
    </row>
    <row r="1060" spans="1:7">
      <c r="A1060" s="10" t="str">
        <f>IF(DATA_INPUT!A483="","",DATA_INPUT!A483)</f>
        <v/>
      </c>
      <c r="B1060" t="str">
        <f t="shared" si="21"/>
        <v/>
      </c>
      <c r="C1060" t="str">
        <f>IF(DATA_INPUT!B483="","",DATA_INPUT!B483)</f>
        <v/>
      </c>
      <c r="D1060" t="str">
        <f>IF(DATA_INPUT!C483="","",DATA_INPUT!C483)</f>
        <v/>
      </c>
      <c r="E1060" s="27" t="str">
        <f>IF(DATA_INPUT!D483="","",DATA_INPUT!D483)</f>
        <v/>
      </c>
      <c r="F1060" t="str">
        <f t="shared" si="22"/>
        <v/>
      </c>
      <c r="G1060" t="str">
        <f t="shared" si="23"/>
        <v/>
      </c>
    </row>
    <row r="1061" spans="1:7">
      <c r="A1061" s="10" t="str">
        <f>IF(DATA_INPUT!A484="","",DATA_INPUT!A484)</f>
        <v/>
      </c>
      <c r="B1061" t="str">
        <f t="shared" si="21"/>
        <v/>
      </c>
      <c r="C1061" t="str">
        <f>IF(DATA_INPUT!B484="","",DATA_INPUT!B484)</f>
        <v/>
      </c>
      <c r="D1061" t="str">
        <f>IF(DATA_INPUT!C484="","",DATA_INPUT!C484)</f>
        <v/>
      </c>
      <c r="E1061" s="27" t="str">
        <f>IF(DATA_INPUT!D484="","",DATA_INPUT!D484)</f>
        <v/>
      </c>
      <c r="F1061" t="str">
        <f t="shared" si="22"/>
        <v/>
      </c>
      <c r="G1061" t="str">
        <f t="shared" si="23"/>
        <v/>
      </c>
    </row>
    <row r="1062" spans="1:7">
      <c r="A1062" s="10" t="str">
        <f>IF(DATA_INPUT!A485="","",DATA_INPUT!A485)</f>
        <v/>
      </c>
      <c r="B1062" t="str">
        <f t="shared" si="21"/>
        <v/>
      </c>
      <c r="C1062" t="str">
        <f>IF(DATA_INPUT!B485="","",DATA_INPUT!B485)</f>
        <v/>
      </c>
      <c r="D1062" t="str">
        <f>IF(DATA_INPUT!C485="","",DATA_INPUT!C485)</f>
        <v/>
      </c>
      <c r="E1062" s="27" t="str">
        <f>IF(DATA_INPUT!D485="","",DATA_INPUT!D485)</f>
        <v/>
      </c>
      <c r="F1062" t="str">
        <f t="shared" si="22"/>
        <v/>
      </c>
      <c r="G1062" t="str">
        <f t="shared" si="23"/>
        <v/>
      </c>
    </row>
    <row r="1063" spans="1:7">
      <c r="A1063" s="10" t="str">
        <f>IF(DATA_INPUT!A486="","",DATA_INPUT!A486)</f>
        <v/>
      </c>
      <c r="B1063" t="str">
        <f t="shared" si="21"/>
        <v/>
      </c>
      <c r="C1063" t="str">
        <f>IF(DATA_INPUT!B486="","",DATA_INPUT!B486)</f>
        <v/>
      </c>
      <c r="D1063" t="str">
        <f>IF(DATA_INPUT!C486="","",DATA_INPUT!C486)</f>
        <v/>
      </c>
      <c r="E1063" s="27" t="str">
        <f>IF(DATA_INPUT!D486="","",DATA_INPUT!D486)</f>
        <v/>
      </c>
      <c r="F1063" t="str">
        <f t="shared" si="22"/>
        <v/>
      </c>
      <c r="G1063" t="str">
        <f t="shared" si="23"/>
        <v/>
      </c>
    </row>
    <row r="1064" spans="1:7">
      <c r="A1064" s="10" t="str">
        <f>IF(DATA_INPUT!A487="","",DATA_INPUT!A487)</f>
        <v/>
      </c>
      <c r="B1064" t="str">
        <f t="shared" si="21"/>
        <v/>
      </c>
      <c r="C1064" t="str">
        <f>IF(DATA_INPUT!B487="","",DATA_INPUT!B487)</f>
        <v/>
      </c>
      <c r="D1064" t="str">
        <f>IF(DATA_INPUT!C487="","",DATA_INPUT!C487)</f>
        <v/>
      </c>
      <c r="E1064" s="27" t="str">
        <f>IF(DATA_INPUT!D487="","",DATA_INPUT!D487)</f>
        <v/>
      </c>
      <c r="F1064" t="str">
        <f t="shared" si="22"/>
        <v/>
      </c>
      <c r="G1064" t="str">
        <f t="shared" si="23"/>
        <v/>
      </c>
    </row>
    <row r="1065" spans="1:7">
      <c r="A1065" s="10" t="str">
        <f>IF(DATA_INPUT!A488="","",DATA_INPUT!A488)</f>
        <v/>
      </c>
      <c r="B1065" t="str">
        <f t="shared" si="21"/>
        <v/>
      </c>
      <c r="C1065" t="str">
        <f>IF(DATA_INPUT!B488="","",DATA_INPUT!B488)</f>
        <v/>
      </c>
      <c r="D1065" t="str">
        <f>IF(DATA_INPUT!C488="","",DATA_INPUT!C488)</f>
        <v/>
      </c>
      <c r="E1065" s="27" t="str">
        <f>IF(DATA_INPUT!D488="","",DATA_INPUT!D488)</f>
        <v/>
      </c>
      <c r="F1065" t="str">
        <f t="shared" si="22"/>
        <v/>
      </c>
      <c r="G1065" t="str">
        <f t="shared" si="23"/>
        <v/>
      </c>
    </row>
    <row r="1066" spans="1:7">
      <c r="A1066" s="10" t="str">
        <f>IF(DATA_INPUT!A489="","",DATA_INPUT!A489)</f>
        <v/>
      </c>
      <c r="B1066" t="str">
        <f t="shared" si="21"/>
        <v/>
      </c>
      <c r="C1066" t="str">
        <f>IF(DATA_INPUT!B489="","",DATA_INPUT!B489)</f>
        <v/>
      </c>
      <c r="D1066" t="str">
        <f>IF(DATA_INPUT!C489="","",DATA_INPUT!C489)</f>
        <v/>
      </c>
      <c r="E1066" s="27" t="str">
        <f>IF(DATA_INPUT!D489="","",DATA_INPUT!D489)</f>
        <v/>
      </c>
      <c r="F1066" t="str">
        <f t="shared" si="22"/>
        <v/>
      </c>
      <c r="G1066" t="str">
        <f t="shared" si="23"/>
        <v/>
      </c>
    </row>
    <row r="1067" spans="1:7">
      <c r="A1067" s="10" t="str">
        <f>IF(DATA_INPUT!A490="","",DATA_INPUT!A490)</f>
        <v/>
      </c>
      <c r="B1067" t="str">
        <f t="shared" si="21"/>
        <v/>
      </c>
      <c r="C1067" t="str">
        <f>IF(DATA_INPUT!B490="","",DATA_INPUT!B490)</f>
        <v/>
      </c>
      <c r="D1067" t="str">
        <f>IF(DATA_INPUT!C490="","",DATA_INPUT!C490)</f>
        <v/>
      </c>
      <c r="E1067" s="27" t="str">
        <f>IF(DATA_INPUT!D490="","",DATA_INPUT!D490)</f>
        <v/>
      </c>
      <c r="F1067" t="str">
        <f t="shared" si="22"/>
        <v/>
      </c>
      <c r="G1067" t="str">
        <f t="shared" si="23"/>
        <v/>
      </c>
    </row>
    <row r="1068" spans="1:7">
      <c r="A1068" s="10" t="str">
        <f>IF(DATA_INPUT!A491="","",DATA_INPUT!A491)</f>
        <v/>
      </c>
      <c r="B1068" t="str">
        <f t="shared" si="21"/>
        <v/>
      </c>
      <c r="C1068" t="str">
        <f>IF(DATA_INPUT!B491="","",DATA_INPUT!B491)</f>
        <v/>
      </c>
      <c r="D1068" t="str">
        <f>IF(DATA_INPUT!C491="","",DATA_INPUT!C491)</f>
        <v/>
      </c>
      <c r="E1068" s="27" t="str">
        <f>IF(DATA_INPUT!D491="","",DATA_INPUT!D491)</f>
        <v/>
      </c>
      <c r="F1068" t="str">
        <f t="shared" si="22"/>
        <v/>
      </c>
      <c r="G1068" t="str">
        <f t="shared" si="23"/>
        <v/>
      </c>
    </row>
    <row r="1069" spans="1:7">
      <c r="A1069" s="10" t="str">
        <f>IF(DATA_INPUT!A492="","",DATA_INPUT!A492)</f>
        <v/>
      </c>
      <c r="B1069" t="str">
        <f t="shared" si="21"/>
        <v/>
      </c>
      <c r="C1069" t="str">
        <f>IF(DATA_INPUT!B492="","",DATA_INPUT!B492)</f>
        <v/>
      </c>
      <c r="D1069" t="str">
        <f>IF(DATA_INPUT!C492="","",DATA_INPUT!C492)</f>
        <v/>
      </c>
      <c r="E1069" s="27" t="str">
        <f>IF(DATA_INPUT!D492="","",DATA_INPUT!D492)</f>
        <v/>
      </c>
      <c r="F1069" t="str">
        <f t="shared" si="22"/>
        <v/>
      </c>
      <c r="G1069" t="str">
        <f t="shared" si="23"/>
        <v/>
      </c>
    </row>
    <row r="1070" spans="1:7">
      <c r="A1070" s="10" t="str">
        <f>IF(DATA_INPUT!A493="","",DATA_INPUT!A493)</f>
        <v/>
      </c>
      <c r="B1070" t="str">
        <f t="shared" si="21"/>
        <v/>
      </c>
      <c r="C1070" t="str">
        <f>IF(DATA_INPUT!B493="","",DATA_INPUT!B493)</f>
        <v/>
      </c>
      <c r="D1070" t="str">
        <f>IF(DATA_INPUT!C493="","",DATA_INPUT!C493)</f>
        <v/>
      </c>
      <c r="E1070" s="27" t="str">
        <f>IF(DATA_INPUT!D493="","",DATA_INPUT!D493)</f>
        <v/>
      </c>
      <c r="F1070" t="str">
        <f t="shared" si="22"/>
        <v/>
      </c>
      <c r="G1070" t="str">
        <f t="shared" si="23"/>
        <v/>
      </c>
    </row>
    <row r="1071" spans="1:7">
      <c r="A1071" s="10" t="str">
        <f>IF(DATA_INPUT!A494="","",DATA_INPUT!A494)</f>
        <v/>
      </c>
      <c r="B1071" t="str">
        <f t="shared" si="21"/>
        <v/>
      </c>
      <c r="C1071" t="str">
        <f>IF(DATA_INPUT!B494="","",DATA_INPUT!B494)</f>
        <v/>
      </c>
      <c r="D1071" t="str">
        <f>IF(DATA_INPUT!C494="","",DATA_INPUT!C494)</f>
        <v/>
      </c>
      <c r="E1071" s="27" t="str">
        <f>IF(DATA_INPUT!D494="","",DATA_INPUT!D494)</f>
        <v/>
      </c>
      <c r="F1071" t="str">
        <f t="shared" si="22"/>
        <v/>
      </c>
      <c r="G1071" t="str">
        <f t="shared" si="23"/>
        <v/>
      </c>
    </row>
    <row r="1072" spans="1:7">
      <c r="A1072" s="10" t="str">
        <f>IF(DATA_INPUT!A495="","",DATA_INPUT!A495)</f>
        <v/>
      </c>
      <c r="B1072" t="str">
        <f t="shared" si="21"/>
        <v/>
      </c>
      <c r="C1072" t="str">
        <f>IF(DATA_INPUT!B495="","",DATA_INPUT!B495)</f>
        <v/>
      </c>
      <c r="D1072" t="str">
        <f>IF(DATA_INPUT!C495="","",DATA_INPUT!C495)</f>
        <v/>
      </c>
      <c r="E1072" s="27" t="str">
        <f>IF(DATA_INPUT!D495="","",DATA_INPUT!D495)</f>
        <v/>
      </c>
      <c r="F1072" t="str">
        <f t="shared" si="22"/>
        <v/>
      </c>
      <c r="G1072" t="str">
        <f t="shared" si="23"/>
        <v/>
      </c>
    </row>
    <row r="1073" spans="1:7">
      <c r="A1073" s="10" t="str">
        <f>IF(DATA_INPUT!A496="","",DATA_INPUT!A496)</f>
        <v/>
      </c>
      <c r="B1073" t="str">
        <f t="shared" si="21"/>
        <v/>
      </c>
      <c r="C1073" t="str">
        <f>IF(DATA_INPUT!B496="","",DATA_INPUT!B496)</f>
        <v/>
      </c>
      <c r="D1073" t="str">
        <f>IF(DATA_INPUT!C496="","",DATA_INPUT!C496)</f>
        <v/>
      </c>
      <c r="E1073" s="27" t="str">
        <f>IF(DATA_INPUT!D496="","",DATA_INPUT!D496)</f>
        <v/>
      </c>
      <c r="F1073" t="str">
        <f t="shared" si="22"/>
        <v/>
      </c>
      <c r="G1073" t="str">
        <f t="shared" si="23"/>
        <v/>
      </c>
    </row>
    <row r="1074" spans="1:7">
      <c r="A1074" s="10" t="str">
        <f>IF(DATA_INPUT!A497="","",DATA_INPUT!A497)</f>
        <v/>
      </c>
      <c r="B1074" t="str">
        <f t="shared" si="21"/>
        <v/>
      </c>
      <c r="C1074" t="str">
        <f>IF(DATA_INPUT!B497="","",DATA_INPUT!B497)</f>
        <v/>
      </c>
      <c r="D1074" t="str">
        <f>IF(DATA_INPUT!C497="","",DATA_INPUT!C497)</f>
        <v/>
      </c>
      <c r="E1074" s="27" t="str">
        <f>IF(DATA_INPUT!D497="","",DATA_INPUT!D497)</f>
        <v/>
      </c>
      <c r="F1074" t="str">
        <f t="shared" si="22"/>
        <v/>
      </c>
      <c r="G1074" t="str">
        <f t="shared" si="23"/>
        <v/>
      </c>
    </row>
    <row r="1075" spans="1:7">
      <c r="A1075" s="10" t="str">
        <f>IF(DATA_INPUT!A498="","",DATA_INPUT!A498)</f>
        <v/>
      </c>
      <c r="B1075" t="str">
        <f t="shared" si="21"/>
        <v/>
      </c>
      <c r="C1075" t="str">
        <f>IF(DATA_INPUT!B498="","",DATA_INPUT!B498)</f>
        <v/>
      </c>
      <c r="D1075" t="str">
        <f>IF(DATA_INPUT!C498="","",DATA_INPUT!C498)</f>
        <v/>
      </c>
      <c r="E1075" s="27" t="str">
        <f>IF(DATA_INPUT!D498="","",DATA_INPUT!D498)</f>
        <v/>
      </c>
      <c r="F1075" t="str">
        <f t="shared" si="22"/>
        <v/>
      </c>
      <c r="G1075" t="str">
        <f t="shared" si="23"/>
        <v/>
      </c>
    </row>
    <row r="1076" spans="1:7">
      <c r="A1076" s="10" t="str">
        <f>IF(DATA_INPUT!A499="","",DATA_INPUT!A499)</f>
        <v/>
      </c>
      <c r="B1076" t="str">
        <f t="shared" si="21"/>
        <v/>
      </c>
      <c r="C1076" t="str">
        <f>IF(DATA_INPUT!B499="","",DATA_INPUT!B499)</f>
        <v/>
      </c>
      <c r="D1076" t="str">
        <f>IF(DATA_INPUT!C499="","",DATA_INPUT!C499)</f>
        <v/>
      </c>
      <c r="E1076" s="27" t="str">
        <f>IF(DATA_INPUT!D499="","",DATA_INPUT!D499)</f>
        <v/>
      </c>
      <c r="F1076" t="str">
        <f t="shared" si="22"/>
        <v/>
      </c>
      <c r="G1076" t="str">
        <f t="shared" si="23"/>
        <v/>
      </c>
    </row>
    <row r="1077" spans="1:7">
      <c r="A1077" s="10" t="str">
        <f>IF(DATA_INPUT!A500="","",DATA_INPUT!A500)</f>
        <v/>
      </c>
      <c r="B1077" t="str">
        <f t="shared" si="21"/>
        <v/>
      </c>
      <c r="C1077" t="str">
        <f>IF(DATA_INPUT!B500="","",DATA_INPUT!B500)</f>
        <v/>
      </c>
      <c r="D1077" t="str">
        <f>IF(DATA_INPUT!C500="","",DATA_INPUT!C500)</f>
        <v/>
      </c>
      <c r="E1077" s="27" t="str">
        <f>IF(DATA_INPUT!D500="","",DATA_INPUT!D500)</f>
        <v/>
      </c>
      <c r="F1077" t="str">
        <f t="shared" si="22"/>
        <v/>
      </c>
      <c r="G1077" t="str">
        <f t="shared" si="23"/>
        <v/>
      </c>
    </row>
    <row r="1078" spans="1:7">
      <c r="A1078" s="10" t="str">
        <f>IF(DATA_INPUT!A501="","",DATA_INPUT!A501)</f>
        <v/>
      </c>
      <c r="B1078" t="str">
        <f t="shared" si="21"/>
        <v/>
      </c>
      <c r="C1078" t="str">
        <f>IF(DATA_INPUT!B501="","",DATA_INPUT!B501)</f>
        <v/>
      </c>
      <c r="D1078" t="str">
        <f>IF(DATA_INPUT!C501="","",DATA_INPUT!C501)</f>
        <v/>
      </c>
      <c r="E1078" s="27" t="str">
        <f>IF(DATA_INPUT!D501="","",DATA_INPUT!D501)</f>
        <v/>
      </c>
      <c r="F1078" t="str">
        <f t="shared" si="22"/>
        <v/>
      </c>
      <c r="G1078" t="str">
        <f t="shared" si="23"/>
        <v/>
      </c>
    </row>
    <row r="1079" spans="1:7">
      <c r="A1079" s="10" t="str">
        <f>IF(DATA_INPUT!A502="","",DATA_INPUT!A502)</f>
        <v/>
      </c>
      <c r="B1079" t="str">
        <f t="shared" si="21"/>
        <v/>
      </c>
      <c r="C1079" t="str">
        <f>IF(DATA_INPUT!B502="","",DATA_INPUT!B502)</f>
        <v/>
      </c>
      <c r="D1079" t="str">
        <f>IF(DATA_INPUT!C502="","",DATA_INPUT!C502)</f>
        <v/>
      </c>
      <c r="E1079" s="27" t="str">
        <f>IF(DATA_INPUT!D502="","",DATA_INPUT!D502)</f>
        <v/>
      </c>
      <c r="F1079" t="str">
        <f t="shared" si="22"/>
        <v/>
      </c>
      <c r="G1079" t="str">
        <f t="shared" si="23"/>
        <v/>
      </c>
    </row>
    <row r="1080" spans="1:7">
      <c r="A1080" s="10" t="str">
        <f>IF(DATA_INPUT!A503="","",DATA_INPUT!A503)</f>
        <v/>
      </c>
      <c r="B1080" t="str">
        <f t="shared" si="21"/>
        <v/>
      </c>
      <c r="C1080" t="str">
        <f>IF(DATA_INPUT!B503="","",DATA_INPUT!B503)</f>
        <v/>
      </c>
      <c r="D1080" t="str">
        <f>IF(DATA_INPUT!C503="","",DATA_INPUT!C503)</f>
        <v/>
      </c>
      <c r="E1080" s="27" t="str">
        <f>IF(DATA_INPUT!D503="","",DATA_INPUT!D503)</f>
        <v/>
      </c>
      <c r="F1080" t="str">
        <f t="shared" si="22"/>
        <v/>
      </c>
      <c r="G1080" t="str">
        <f t="shared" si="23"/>
        <v/>
      </c>
    </row>
    <row r="1081" spans="1:7">
      <c r="A1081" s="10" t="str">
        <f>IF(DATA_INPUT!A504="","",DATA_INPUT!A504)</f>
        <v/>
      </c>
      <c r="B1081" t="str">
        <f t="shared" si="21"/>
        <v/>
      </c>
      <c r="C1081" t="str">
        <f>IF(DATA_INPUT!B504="","",DATA_INPUT!B504)</f>
        <v/>
      </c>
      <c r="D1081" t="str">
        <f>IF(DATA_INPUT!C504="","",DATA_INPUT!C504)</f>
        <v/>
      </c>
      <c r="E1081" s="27" t="str">
        <f>IF(DATA_INPUT!D504="","",DATA_INPUT!D504)</f>
        <v/>
      </c>
      <c r="F1081" t="str">
        <f t="shared" si="22"/>
        <v/>
      </c>
      <c r="G1081" t="str">
        <f t="shared" si="23"/>
        <v/>
      </c>
    </row>
    <row r="1082" spans="1:7">
      <c r="A1082" s="10" t="str">
        <f>IF(DATA_INPUT!A505="","",DATA_INPUT!A505)</f>
        <v/>
      </c>
      <c r="B1082" t="str">
        <f t="shared" si="21"/>
        <v/>
      </c>
      <c r="C1082" t="str">
        <f>IF(DATA_INPUT!B505="","",DATA_INPUT!B505)</f>
        <v/>
      </c>
      <c r="D1082" t="str">
        <f>IF(DATA_INPUT!C505="","",DATA_INPUT!C505)</f>
        <v/>
      </c>
      <c r="E1082" s="27" t="str">
        <f>IF(DATA_INPUT!D505="","",DATA_INPUT!D505)</f>
        <v/>
      </c>
      <c r="F1082" t="str">
        <f t="shared" si="22"/>
        <v/>
      </c>
      <c r="G1082" t="str">
        <f t="shared" si="23"/>
        <v/>
      </c>
    </row>
    <row r="1083" spans="1:7">
      <c r="A1083" s="10" t="str">
        <f>IF(DATA_INPUT!A506="","",DATA_INPUT!A506)</f>
        <v/>
      </c>
      <c r="B1083" t="str">
        <f t="shared" si="21"/>
        <v/>
      </c>
      <c r="C1083" t="str">
        <f>IF(DATA_INPUT!B506="","",DATA_INPUT!B506)</f>
        <v/>
      </c>
      <c r="D1083" t="str">
        <f>IF(DATA_INPUT!C506="","",DATA_INPUT!C506)</f>
        <v/>
      </c>
      <c r="E1083" s="27" t="str">
        <f>IF(DATA_INPUT!D506="","",DATA_INPUT!D506)</f>
        <v/>
      </c>
      <c r="F1083" t="str">
        <f t="shared" si="22"/>
        <v/>
      </c>
      <c r="G1083" t="str">
        <f t="shared" si="23"/>
        <v/>
      </c>
    </row>
    <row r="1084" spans="1:7">
      <c r="A1084" s="10" t="str">
        <f>IF(DATA_INPUT!A507="","",DATA_INPUT!A507)</f>
        <v/>
      </c>
      <c r="B1084" t="str">
        <f t="shared" si="21"/>
        <v/>
      </c>
      <c r="C1084" t="str">
        <f>IF(DATA_INPUT!B507="","",DATA_INPUT!B507)</f>
        <v/>
      </c>
      <c r="D1084" t="str">
        <f>IF(DATA_INPUT!C507="","",DATA_INPUT!C507)</f>
        <v/>
      </c>
      <c r="E1084" s="27" t="str">
        <f>IF(DATA_INPUT!D507="","",DATA_INPUT!D507)</f>
        <v/>
      </c>
      <c r="F1084" t="str">
        <f t="shared" si="22"/>
        <v/>
      </c>
      <c r="G1084" t="str">
        <f t="shared" si="23"/>
        <v/>
      </c>
    </row>
    <row r="1085" spans="1:7">
      <c r="A1085" s="10" t="str">
        <f>IF(DATA_INPUT!A508="","",DATA_INPUT!A508)</f>
        <v/>
      </c>
      <c r="B1085" t="str">
        <f t="shared" si="21"/>
        <v/>
      </c>
      <c r="C1085" t="str">
        <f>IF(DATA_INPUT!B508="","",DATA_INPUT!B508)</f>
        <v/>
      </c>
      <c r="D1085" t="str">
        <f>IF(DATA_INPUT!C508="","",DATA_INPUT!C508)</f>
        <v/>
      </c>
      <c r="E1085" s="27" t="str">
        <f>IF(DATA_INPUT!D508="","",DATA_INPUT!D508)</f>
        <v/>
      </c>
      <c r="F1085" t="str">
        <f t="shared" si="22"/>
        <v/>
      </c>
      <c r="G1085" t="str">
        <f t="shared" si="23"/>
        <v/>
      </c>
    </row>
    <row r="1086" spans="1:7">
      <c r="A1086" s="10" t="str">
        <f>IF(DATA_INPUT!A509="","",DATA_INPUT!A509)</f>
        <v/>
      </c>
      <c r="B1086" t="str">
        <f t="shared" si="21"/>
        <v/>
      </c>
      <c r="C1086" t="str">
        <f>IF(DATA_INPUT!B509="","",DATA_INPUT!B509)</f>
        <v/>
      </c>
      <c r="D1086" t="str">
        <f>IF(DATA_INPUT!C509="","",DATA_INPUT!C509)</f>
        <v/>
      </c>
      <c r="E1086" s="27" t="str">
        <f>IF(DATA_INPUT!D509="","",DATA_INPUT!D509)</f>
        <v/>
      </c>
      <c r="F1086" t="str">
        <f t="shared" si="22"/>
        <v/>
      </c>
      <c r="G1086" t="str">
        <f t="shared" si="23"/>
        <v/>
      </c>
    </row>
    <row r="1087" spans="1:7">
      <c r="A1087" s="10" t="str">
        <f>IF(DATA_INPUT!A510="","",DATA_INPUT!A510)</f>
        <v/>
      </c>
      <c r="B1087" t="str">
        <f t="shared" si="21"/>
        <v/>
      </c>
      <c r="C1087" t="str">
        <f>IF(DATA_INPUT!B510="","",DATA_INPUT!B510)</f>
        <v/>
      </c>
      <c r="D1087" t="str">
        <f>IF(DATA_INPUT!C510="","",DATA_INPUT!C510)</f>
        <v/>
      </c>
      <c r="E1087" s="27" t="str">
        <f>IF(DATA_INPUT!D510="","",DATA_INPUT!D510)</f>
        <v/>
      </c>
      <c r="F1087" t="str">
        <f t="shared" si="22"/>
        <v/>
      </c>
      <c r="G1087" t="str">
        <f t="shared" si="23"/>
        <v/>
      </c>
    </row>
    <row r="1088" spans="1:7">
      <c r="A1088" s="10" t="str">
        <f>IF(DATA_INPUT!A511="","",DATA_INPUT!A511)</f>
        <v/>
      </c>
      <c r="B1088" t="str">
        <f t="shared" si="21"/>
        <v/>
      </c>
      <c r="C1088" t="str">
        <f>IF(DATA_INPUT!B511="","",DATA_INPUT!B511)</f>
        <v/>
      </c>
      <c r="D1088" t="str">
        <f>IF(DATA_INPUT!C511="","",DATA_INPUT!C511)</f>
        <v/>
      </c>
      <c r="E1088" s="27" t="str">
        <f>IF(DATA_INPUT!D511="","",DATA_INPUT!D511)</f>
        <v/>
      </c>
      <c r="F1088" t="str">
        <f t="shared" si="22"/>
        <v/>
      </c>
      <c r="G1088" t="str">
        <f t="shared" si="23"/>
        <v/>
      </c>
    </row>
    <row r="1089" spans="1:7">
      <c r="A1089" s="10" t="str">
        <f>IF(DATA_INPUT!A512="","",DATA_INPUT!A512)</f>
        <v/>
      </c>
      <c r="B1089" t="str">
        <f t="shared" si="21"/>
        <v/>
      </c>
      <c r="C1089" t="str">
        <f>IF(DATA_INPUT!B512="","",DATA_INPUT!B512)</f>
        <v/>
      </c>
      <c r="D1089" t="str">
        <f>IF(DATA_INPUT!C512="","",DATA_INPUT!C512)</f>
        <v/>
      </c>
      <c r="E1089" s="27" t="str">
        <f>IF(DATA_INPUT!D512="","",DATA_INPUT!D512)</f>
        <v/>
      </c>
      <c r="F1089" t="str">
        <f t="shared" si="22"/>
        <v/>
      </c>
      <c r="G1089" t="str">
        <f t="shared" si="23"/>
        <v/>
      </c>
    </row>
    <row r="1090" spans="1:7">
      <c r="A1090" s="10" t="str">
        <f>IF(DATA_INPUT!A513="","",DATA_INPUT!A513)</f>
        <v/>
      </c>
      <c r="B1090" t="str">
        <f t="shared" si="21"/>
        <v/>
      </c>
      <c r="C1090" t="str">
        <f>IF(DATA_INPUT!B513="","",DATA_INPUT!B513)</f>
        <v/>
      </c>
      <c r="D1090" t="str">
        <f>IF(DATA_INPUT!C513="","",DATA_INPUT!C513)</f>
        <v/>
      </c>
      <c r="E1090" s="27" t="str">
        <f>IF(DATA_INPUT!D513="","",DATA_INPUT!D513)</f>
        <v/>
      </c>
      <c r="F1090" t="str">
        <f t="shared" si="22"/>
        <v/>
      </c>
      <c r="G1090" t="str">
        <f t="shared" si="23"/>
        <v/>
      </c>
    </row>
    <row r="1091" spans="1:7">
      <c r="A1091" s="10" t="str">
        <f>IF(DATA_INPUT!A514="","",DATA_INPUT!A514)</f>
        <v/>
      </c>
      <c r="B1091" t="str">
        <f t="shared" si="21"/>
        <v/>
      </c>
      <c r="C1091" t="str">
        <f>IF(DATA_INPUT!B514="","",DATA_INPUT!B514)</f>
        <v/>
      </c>
      <c r="D1091" t="str">
        <f>IF(DATA_INPUT!C514="","",DATA_INPUT!C514)</f>
        <v/>
      </c>
      <c r="E1091" s="27" t="str">
        <f>IF(DATA_INPUT!D514="","",DATA_INPUT!D514)</f>
        <v/>
      </c>
      <c r="F1091" t="str">
        <f t="shared" si="22"/>
        <v/>
      </c>
      <c r="G1091" t="str">
        <f t="shared" si="23"/>
        <v/>
      </c>
    </row>
    <row r="1092" spans="1:7">
      <c r="A1092" s="10" t="str">
        <f>IF(DATA_INPUT!A515="","",DATA_INPUT!A515)</f>
        <v/>
      </c>
      <c r="B1092" t="str">
        <f t="shared" ref="B1092:B1155" si="24">IF(A1092="","",TEXT(A1092,"dddd"))</f>
        <v/>
      </c>
      <c r="C1092" t="str">
        <f>IF(DATA_INPUT!B515="","",DATA_INPUT!B515)</f>
        <v/>
      </c>
      <c r="D1092" t="str">
        <f>IF(DATA_INPUT!C515="","",DATA_INPUT!C515)</f>
        <v/>
      </c>
      <c r="E1092" s="27" t="str">
        <f>IF(DATA_INPUT!D515="","",DATA_INPUT!D515)</f>
        <v/>
      </c>
      <c r="F1092" t="str">
        <f t="shared" ref="F1092:F1155" si="25">IF(A1092="","",TEXT(A1092,"mmm yyyy"))</f>
        <v/>
      </c>
      <c r="G1092" t="str">
        <f t="shared" ref="G1092:G1155" si="26">IF(A1092="","",WEEKNUM(A1092))</f>
        <v/>
      </c>
    </row>
    <row r="1093" spans="1:7">
      <c r="A1093" s="10" t="str">
        <f>IF(DATA_INPUT!A516="","",DATA_INPUT!A516)</f>
        <v/>
      </c>
      <c r="B1093" t="str">
        <f t="shared" si="24"/>
        <v/>
      </c>
      <c r="C1093" t="str">
        <f>IF(DATA_INPUT!B516="","",DATA_INPUT!B516)</f>
        <v/>
      </c>
      <c r="D1093" t="str">
        <f>IF(DATA_INPUT!C516="","",DATA_INPUT!C516)</f>
        <v/>
      </c>
      <c r="E1093" s="27" t="str">
        <f>IF(DATA_INPUT!D516="","",DATA_INPUT!D516)</f>
        <v/>
      </c>
      <c r="F1093" t="str">
        <f t="shared" si="25"/>
        <v/>
      </c>
      <c r="G1093" t="str">
        <f t="shared" si="26"/>
        <v/>
      </c>
    </row>
    <row r="1094" spans="1:7">
      <c r="A1094" s="10" t="str">
        <f>IF(DATA_INPUT!A517="","",DATA_INPUT!A517)</f>
        <v/>
      </c>
      <c r="B1094" t="str">
        <f t="shared" si="24"/>
        <v/>
      </c>
      <c r="C1094" t="str">
        <f>IF(DATA_INPUT!B517="","",DATA_INPUT!B517)</f>
        <v/>
      </c>
      <c r="D1094" t="str">
        <f>IF(DATA_INPUT!C517="","",DATA_INPUT!C517)</f>
        <v/>
      </c>
      <c r="E1094" s="27" t="str">
        <f>IF(DATA_INPUT!D517="","",DATA_INPUT!D517)</f>
        <v/>
      </c>
      <c r="F1094" t="str">
        <f t="shared" si="25"/>
        <v/>
      </c>
      <c r="G1094" t="str">
        <f t="shared" si="26"/>
        <v/>
      </c>
    </row>
    <row r="1095" spans="1:7">
      <c r="A1095" s="10" t="str">
        <f>IF(DATA_INPUT!A518="","",DATA_INPUT!A518)</f>
        <v/>
      </c>
      <c r="B1095" t="str">
        <f t="shared" si="24"/>
        <v/>
      </c>
      <c r="C1095" t="str">
        <f>IF(DATA_INPUT!B518="","",DATA_INPUT!B518)</f>
        <v/>
      </c>
      <c r="D1095" t="str">
        <f>IF(DATA_INPUT!C518="","",DATA_INPUT!C518)</f>
        <v/>
      </c>
      <c r="E1095" s="27" t="str">
        <f>IF(DATA_INPUT!D518="","",DATA_INPUT!D518)</f>
        <v/>
      </c>
      <c r="F1095" t="str">
        <f t="shared" si="25"/>
        <v/>
      </c>
      <c r="G1095" t="str">
        <f t="shared" si="26"/>
        <v/>
      </c>
    </row>
    <row r="1096" spans="1:7">
      <c r="A1096" s="10" t="str">
        <f>IF(DATA_INPUT!A519="","",DATA_INPUT!A519)</f>
        <v/>
      </c>
      <c r="B1096" t="str">
        <f t="shared" si="24"/>
        <v/>
      </c>
      <c r="C1096" t="str">
        <f>IF(DATA_INPUT!B519="","",DATA_INPUT!B519)</f>
        <v/>
      </c>
      <c r="D1096" t="str">
        <f>IF(DATA_INPUT!C519="","",DATA_INPUT!C519)</f>
        <v/>
      </c>
      <c r="E1096" s="27" t="str">
        <f>IF(DATA_INPUT!D519="","",DATA_INPUT!D519)</f>
        <v/>
      </c>
      <c r="F1096" t="str">
        <f t="shared" si="25"/>
        <v/>
      </c>
      <c r="G1096" t="str">
        <f t="shared" si="26"/>
        <v/>
      </c>
    </row>
    <row r="1097" spans="1:7">
      <c r="A1097" s="10" t="str">
        <f>IF(DATA_INPUT!A520="","",DATA_INPUT!A520)</f>
        <v/>
      </c>
      <c r="B1097" t="str">
        <f t="shared" si="24"/>
        <v/>
      </c>
      <c r="C1097" t="str">
        <f>IF(DATA_INPUT!B520="","",DATA_INPUT!B520)</f>
        <v/>
      </c>
      <c r="D1097" t="str">
        <f>IF(DATA_INPUT!C520="","",DATA_INPUT!C520)</f>
        <v/>
      </c>
      <c r="E1097" s="27" t="str">
        <f>IF(DATA_INPUT!D520="","",DATA_INPUT!D520)</f>
        <v/>
      </c>
      <c r="F1097" t="str">
        <f t="shared" si="25"/>
        <v/>
      </c>
      <c r="G1097" t="str">
        <f t="shared" si="26"/>
        <v/>
      </c>
    </row>
    <row r="1098" spans="1:7">
      <c r="A1098" s="10" t="str">
        <f>IF(DATA_INPUT!A521="","",DATA_INPUT!A521)</f>
        <v/>
      </c>
      <c r="B1098" t="str">
        <f t="shared" si="24"/>
        <v/>
      </c>
      <c r="C1098" t="str">
        <f>IF(DATA_INPUT!B521="","",DATA_INPUT!B521)</f>
        <v/>
      </c>
      <c r="D1098" t="str">
        <f>IF(DATA_INPUT!C521="","",DATA_INPUT!C521)</f>
        <v/>
      </c>
      <c r="E1098" s="27" t="str">
        <f>IF(DATA_INPUT!D521="","",DATA_INPUT!D521)</f>
        <v/>
      </c>
      <c r="F1098" t="str">
        <f t="shared" si="25"/>
        <v/>
      </c>
      <c r="G1098" t="str">
        <f t="shared" si="26"/>
        <v/>
      </c>
    </row>
    <row r="1099" spans="1:7">
      <c r="A1099" s="10" t="str">
        <f>IF(DATA_INPUT!A522="","",DATA_INPUT!A522)</f>
        <v/>
      </c>
      <c r="B1099" t="str">
        <f t="shared" si="24"/>
        <v/>
      </c>
      <c r="C1099" t="str">
        <f>IF(DATA_INPUT!B522="","",DATA_INPUT!B522)</f>
        <v/>
      </c>
      <c r="D1099" t="str">
        <f>IF(DATA_INPUT!C522="","",DATA_INPUT!C522)</f>
        <v/>
      </c>
      <c r="E1099" s="27" t="str">
        <f>IF(DATA_INPUT!D522="","",DATA_INPUT!D522)</f>
        <v/>
      </c>
      <c r="F1099" t="str">
        <f t="shared" si="25"/>
        <v/>
      </c>
      <c r="G1099" t="str">
        <f t="shared" si="26"/>
        <v/>
      </c>
    </row>
    <row r="1100" spans="1:7">
      <c r="A1100" s="10" t="str">
        <f>IF(DATA_INPUT!A523="","",DATA_INPUT!A523)</f>
        <v/>
      </c>
      <c r="B1100" t="str">
        <f t="shared" si="24"/>
        <v/>
      </c>
      <c r="C1100" t="str">
        <f>IF(DATA_INPUT!B523="","",DATA_INPUT!B523)</f>
        <v/>
      </c>
      <c r="D1100" t="str">
        <f>IF(DATA_INPUT!C523="","",DATA_INPUT!C523)</f>
        <v/>
      </c>
      <c r="E1100" s="27" t="str">
        <f>IF(DATA_INPUT!D523="","",DATA_INPUT!D523)</f>
        <v/>
      </c>
      <c r="F1100" t="str">
        <f t="shared" si="25"/>
        <v/>
      </c>
      <c r="G1100" t="str">
        <f t="shared" si="26"/>
        <v/>
      </c>
    </row>
    <row r="1101" spans="1:7">
      <c r="A1101" s="10" t="str">
        <f>IF(DATA_INPUT!A524="","",DATA_INPUT!A524)</f>
        <v/>
      </c>
      <c r="B1101" t="str">
        <f t="shared" si="24"/>
        <v/>
      </c>
      <c r="C1101" t="str">
        <f>IF(DATA_INPUT!B524="","",DATA_INPUT!B524)</f>
        <v/>
      </c>
      <c r="D1101" t="str">
        <f>IF(DATA_INPUT!C524="","",DATA_INPUT!C524)</f>
        <v/>
      </c>
      <c r="E1101" s="27" t="str">
        <f>IF(DATA_INPUT!D524="","",DATA_INPUT!D524)</f>
        <v/>
      </c>
      <c r="F1101" t="str">
        <f t="shared" si="25"/>
        <v/>
      </c>
      <c r="G1101" t="str">
        <f t="shared" si="26"/>
        <v/>
      </c>
    </row>
    <row r="1102" spans="1:7">
      <c r="A1102" s="10" t="str">
        <f>IF(DATA_INPUT!A525="","",DATA_INPUT!A525)</f>
        <v/>
      </c>
      <c r="B1102" t="str">
        <f t="shared" si="24"/>
        <v/>
      </c>
      <c r="C1102" t="str">
        <f>IF(DATA_INPUT!B525="","",DATA_INPUT!B525)</f>
        <v/>
      </c>
      <c r="D1102" t="str">
        <f>IF(DATA_INPUT!C525="","",DATA_INPUT!C525)</f>
        <v/>
      </c>
      <c r="E1102" s="27" t="str">
        <f>IF(DATA_INPUT!D525="","",DATA_INPUT!D525)</f>
        <v/>
      </c>
      <c r="F1102" t="str">
        <f t="shared" si="25"/>
        <v/>
      </c>
      <c r="G1102" t="str">
        <f t="shared" si="26"/>
        <v/>
      </c>
    </row>
    <row r="1103" spans="1:7">
      <c r="A1103" s="10" t="str">
        <f>IF(DATA_INPUT!A526="","",DATA_INPUT!A526)</f>
        <v/>
      </c>
      <c r="B1103" t="str">
        <f t="shared" si="24"/>
        <v/>
      </c>
      <c r="C1103" t="str">
        <f>IF(DATA_INPUT!B526="","",DATA_INPUT!B526)</f>
        <v/>
      </c>
      <c r="D1103" t="str">
        <f>IF(DATA_INPUT!C526="","",DATA_INPUT!C526)</f>
        <v/>
      </c>
      <c r="E1103" s="27" t="str">
        <f>IF(DATA_INPUT!D526="","",DATA_INPUT!D526)</f>
        <v/>
      </c>
      <c r="F1103" t="str">
        <f t="shared" si="25"/>
        <v/>
      </c>
      <c r="G1103" t="str">
        <f t="shared" si="26"/>
        <v/>
      </c>
    </row>
    <row r="1104" spans="1:7">
      <c r="A1104" s="10" t="str">
        <f>IF(DATA_INPUT!A527="","",DATA_INPUT!A527)</f>
        <v/>
      </c>
      <c r="B1104" t="str">
        <f t="shared" si="24"/>
        <v/>
      </c>
      <c r="C1104" t="str">
        <f>IF(DATA_INPUT!B527="","",DATA_INPUT!B527)</f>
        <v/>
      </c>
      <c r="D1104" t="str">
        <f>IF(DATA_INPUT!C527="","",DATA_INPUT!C527)</f>
        <v/>
      </c>
      <c r="E1104" s="27" t="str">
        <f>IF(DATA_INPUT!D527="","",DATA_INPUT!D527)</f>
        <v/>
      </c>
      <c r="F1104" t="str">
        <f t="shared" si="25"/>
        <v/>
      </c>
      <c r="G1104" t="str">
        <f t="shared" si="26"/>
        <v/>
      </c>
    </row>
    <row r="1105" spans="1:7">
      <c r="A1105" s="10" t="str">
        <f>IF(DATA_INPUT!A528="","",DATA_INPUT!A528)</f>
        <v/>
      </c>
      <c r="B1105" t="str">
        <f t="shared" si="24"/>
        <v/>
      </c>
      <c r="C1105" t="str">
        <f>IF(DATA_INPUT!B528="","",DATA_INPUT!B528)</f>
        <v/>
      </c>
      <c r="D1105" t="str">
        <f>IF(DATA_INPUT!C528="","",DATA_INPUT!C528)</f>
        <v/>
      </c>
      <c r="E1105" s="27" t="str">
        <f>IF(DATA_INPUT!D528="","",DATA_INPUT!D528)</f>
        <v/>
      </c>
      <c r="F1105" t="str">
        <f t="shared" si="25"/>
        <v/>
      </c>
      <c r="G1105" t="str">
        <f t="shared" si="26"/>
        <v/>
      </c>
    </row>
    <row r="1106" spans="1:7">
      <c r="A1106" s="10" t="str">
        <f>IF(DATA_INPUT!A529="","",DATA_INPUT!A529)</f>
        <v/>
      </c>
      <c r="B1106" t="str">
        <f t="shared" si="24"/>
        <v/>
      </c>
      <c r="C1106" t="str">
        <f>IF(DATA_INPUT!B529="","",DATA_INPUT!B529)</f>
        <v/>
      </c>
      <c r="D1106" t="str">
        <f>IF(DATA_INPUT!C529="","",DATA_INPUT!C529)</f>
        <v/>
      </c>
      <c r="E1106" s="27" t="str">
        <f>IF(DATA_INPUT!D529="","",DATA_INPUT!D529)</f>
        <v/>
      </c>
      <c r="F1106" t="str">
        <f t="shared" si="25"/>
        <v/>
      </c>
      <c r="G1106" t="str">
        <f t="shared" si="26"/>
        <v/>
      </c>
    </row>
    <row r="1107" spans="1:7">
      <c r="A1107" s="10" t="str">
        <f>IF(DATA_INPUT!A530="","",DATA_INPUT!A530)</f>
        <v/>
      </c>
      <c r="B1107" t="str">
        <f t="shared" si="24"/>
        <v/>
      </c>
      <c r="C1107" t="str">
        <f>IF(DATA_INPUT!B530="","",DATA_INPUT!B530)</f>
        <v/>
      </c>
      <c r="D1107" t="str">
        <f>IF(DATA_INPUT!C530="","",DATA_INPUT!C530)</f>
        <v/>
      </c>
      <c r="E1107" s="27" t="str">
        <f>IF(DATA_INPUT!D530="","",DATA_INPUT!D530)</f>
        <v/>
      </c>
      <c r="F1107" t="str">
        <f t="shared" si="25"/>
        <v/>
      </c>
      <c r="G1107" t="str">
        <f t="shared" si="26"/>
        <v/>
      </c>
    </row>
    <row r="1108" spans="1:7">
      <c r="A1108" s="10" t="str">
        <f>IF(DATA_INPUT!A531="","",DATA_INPUT!A531)</f>
        <v/>
      </c>
      <c r="B1108" t="str">
        <f t="shared" si="24"/>
        <v/>
      </c>
      <c r="C1108" t="str">
        <f>IF(DATA_INPUT!B531="","",DATA_INPUT!B531)</f>
        <v/>
      </c>
      <c r="D1108" t="str">
        <f>IF(DATA_INPUT!C531="","",DATA_INPUT!C531)</f>
        <v/>
      </c>
      <c r="E1108" s="27" t="str">
        <f>IF(DATA_INPUT!D531="","",DATA_INPUT!D531)</f>
        <v/>
      </c>
      <c r="F1108" t="str">
        <f t="shared" si="25"/>
        <v/>
      </c>
      <c r="G1108" t="str">
        <f t="shared" si="26"/>
        <v/>
      </c>
    </row>
    <row r="1109" spans="1:7">
      <c r="A1109" s="10" t="str">
        <f>IF(DATA_INPUT!A532="","",DATA_INPUT!A532)</f>
        <v/>
      </c>
      <c r="B1109" t="str">
        <f t="shared" si="24"/>
        <v/>
      </c>
      <c r="C1109" t="str">
        <f>IF(DATA_INPUT!B532="","",DATA_INPUT!B532)</f>
        <v/>
      </c>
      <c r="D1109" t="str">
        <f>IF(DATA_INPUT!C532="","",DATA_INPUT!C532)</f>
        <v/>
      </c>
      <c r="E1109" s="27" t="str">
        <f>IF(DATA_INPUT!D532="","",DATA_INPUT!D532)</f>
        <v/>
      </c>
      <c r="F1109" t="str">
        <f t="shared" si="25"/>
        <v/>
      </c>
      <c r="G1109" t="str">
        <f t="shared" si="26"/>
        <v/>
      </c>
    </row>
    <row r="1110" spans="1:7">
      <c r="A1110" s="10" t="str">
        <f>IF(DATA_INPUT!A533="","",DATA_INPUT!A533)</f>
        <v/>
      </c>
      <c r="B1110" t="str">
        <f t="shared" si="24"/>
        <v/>
      </c>
      <c r="C1110" t="str">
        <f>IF(DATA_INPUT!B533="","",DATA_INPUT!B533)</f>
        <v/>
      </c>
      <c r="D1110" t="str">
        <f>IF(DATA_INPUT!C533="","",DATA_INPUT!C533)</f>
        <v/>
      </c>
      <c r="E1110" s="27" t="str">
        <f>IF(DATA_INPUT!D533="","",DATA_INPUT!D533)</f>
        <v/>
      </c>
      <c r="F1110" t="str">
        <f t="shared" si="25"/>
        <v/>
      </c>
      <c r="G1110" t="str">
        <f t="shared" si="26"/>
        <v/>
      </c>
    </row>
    <row r="1111" spans="1:7">
      <c r="A1111" s="10" t="str">
        <f>IF(DATA_INPUT!A534="","",DATA_INPUT!A534)</f>
        <v/>
      </c>
      <c r="B1111" t="str">
        <f t="shared" si="24"/>
        <v/>
      </c>
      <c r="C1111" t="str">
        <f>IF(DATA_INPUT!B534="","",DATA_INPUT!B534)</f>
        <v/>
      </c>
      <c r="D1111" t="str">
        <f>IF(DATA_INPUT!C534="","",DATA_INPUT!C534)</f>
        <v/>
      </c>
      <c r="E1111" s="27" t="str">
        <f>IF(DATA_INPUT!D534="","",DATA_INPUT!D534)</f>
        <v/>
      </c>
      <c r="F1111" t="str">
        <f t="shared" si="25"/>
        <v/>
      </c>
      <c r="G1111" t="str">
        <f t="shared" si="26"/>
        <v/>
      </c>
    </row>
    <row r="1112" spans="1:7">
      <c r="A1112" s="10" t="str">
        <f>IF(DATA_INPUT!A535="","",DATA_INPUT!A535)</f>
        <v/>
      </c>
      <c r="B1112" t="str">
        <f t="shared" si="24"/>
        <v/>
      </c>
      <c r="C1112" t="str">
        <f>IF(DATA_INPUT!B535="","",DATA_INPUT!B535)</f>
        <v/>
      </c>
      <c r="D1112" t="str">
        <f>IF(DATA_INPUT!C535="","",DATA_INPUT!C535)</f>
        <v/>
      </c>
      <c r="E1112" s="27" t="str">
        <f>IF(DATA_INPUT!D535="","",DATA_INPUT!D535)</f>
        <v/>
      </c>
      <c r="F1112" t="str">
        <f t="shared" si="25"/>
        <v/>
      </c>
      <c r="G1112" t="str">
        <f t="shared" si="26"/>
        <v/>
      </c>
    </row>
    <row r="1113" spans="1:7">
      <c r="A1113" s="10" t="str">
        <f>IF(DATA_INPUT!A536="","",DATA_INPUT!A536)</f>
        <v/>
      </c>
      <c r="B1113" t="str">
        <f t="shared" si="24"/>
        <v/>
      </c>
      <c r="C1113" t="str">
        <f>IF(DATA_INPUT!B536="","",DATA_INPUT!B536)</f>
        <v/>
      </c>
      <c r="D1113" t="str">
        <f>IF(DATA_INPUT!C536="","",DATA_INPUT!C536)</f>
        <v/>
      </c>
      <c r="E1113" s="27" t="str">
        <f>IF(DATA_INPUT!D536="","",DATA_INPUT!D536)</f>
        <v/>
      </c>
      <c r="F1113" t="str">
        <f t="shared" si="25"/>
        <v/>
      </c>
      <c r="G1113" t="str">
        <f t="shared" si="26"/>
        <v/>
      </c>
    </row>
    <row r="1114" spans="1:7">
      <c r="A1114" s="10" t="str">
        <f>IF(DATA_INPUT!A537="","",DATA_INPUT!A537)</f>
        <v/>
      </c>
      <c r="B1114" t="str">
        <f t="shared" si="24"/>
        <v/>
      </c>
      <c r="C1114" t="str">
        <f>IF(DATA_INPUT!B537="","",DATA_INPUT!B537)</f>
        <v/>
      </c>
      <c r="D1114" t="str">
        <f>IF(DATA_INPUT!C537="","",DATA_INPUT!C537)</f>
        <v/>
      </c>
      <c r="E1114" s="27" t="str">
        <f>IF(DATA_INPUT!D537="","",DATA_INPUT!D537)</f>
        <v/>
      </c>
      <c r="F1114" t="str">
        <f t="shared" si="25"/>
        <v/>
      </c>
      <c r="G1114" t="str">
        <f t="shared" si="26"/>
        <v/>
      </c>
    </row>
    <row r="1115" spans="1:7">
      <c r="A1115" s="10" t="str">
        <f>IF(DATA_INPUT!A538="","",DATA_INPUT!A538)</f>
        <v/>
      </c>
      <c r="B1115" t="str">
        <f t="shared" si="24"/>
        <v/>
      </c>
      <c r="C1115" t="str">
        <f>IF(DATA_INPUT!B538="","",DATA_INPUT!B538)</f>
        <v/>
      </c>
      <c r="D1115" t="str">
        <f>IF(DATA_INPUT!C538="","",DATA_INPUT!C538)</f>
        <v/>
      </c>
      <c r="E1115" s="27" t="str">
        <f>IF(DATA_INPUT!D538="","",DATA_INPUT!D538)</f>
        <v/>
      </c>
      <c r="F1115" t="str">
        <f t="shared" si="25"/>
        <v/>
      </c>
      <c r="G1115" t="str">
        <f t="shared" si="26"/>
        <v/>
      </c>
    </row>
    <row r="1116" spans="1:7">
      <c r="A1116" s="10" t="str">
        <f>IF(DATA_INPUT!A539="","",DATA_INPUT!A539)</f>
        <v/>
      </c>
      <c r="B1116" t="str">
        <f t="shared" si="24"/>
        <v/>
      </c>
      <c r="C1116" t="str">
        <f>IF(DATA_INPUT!B539="","",DATA_INPUT!B539)</f>
        <v/>
      </c>
      <c r="D1116" t="str">
        <f>IF(DATA_INPUT!C539="","",DATA_INPUT!C539)</f>
        <v/>
      </c>
      <c r="E1116" s="27" t="str">
        <f>IF(DATA_INPUT!D539="","",DATA_INPUT!D539)</f>
        <v/>
      </c>
      <c r="F1116" t="str">
        <f t="shared" si="25"/>
        <v/>
      </c>
      <c r="G1116" t="str">
        <f t="shared" si="26"/>
        <v/>
      </c>
    </row>
    <row r="1117" spans="1:7">
      <c r="A1117" s="10" t="str">
        <f>IF(DATA_INPUT!A540="","",DATA_INPUT!A540)</f>
        <v/>
      </c>
      <c r="B1117" t="str">
        <f t="shared" si="24"/>
        <v/>
      </c>
      <c r="C1117" t="str">
        <f>IF(DATA_INPUT!B540="","",DATA_INPUT!B540)</f>
        <v/>
      </c>
      <c r="D1117" t="str">
        <f>IF(DATA_INPUT!C540="","",DATA_INPUT!C540)</f>
        <v/>
      </c>
      <c r="E1117" s="27" t="str">
        <f>IF(DATA_INPUT!D540="","",DATA_INPUT!D540)</f>
        <v/>
      </c>
      <c r="F1117" t="str">
        <f t="shared" si="25"/>
        <v/>
      </c>
      <c r="G1117" t="str">
        <f t="shared" si="26"/>
        <v/>
      </c>
    </row>
    <row r="1118" spans="1:7">
      <c r="A1118" s="10" t="str">
        <f>IF(DATA_INPUT!A541="","",DATA_INPUT!A541)</f>
        <v/>
      </c>
      <c r="B1118" t="str">
        <f t="shared" si="24"/>
        <v/>
      </c>
      <c r="C1118" t="str">
        <f>IF(DATA_INPUT!B541="","",DATA_INPUT!B541)</f>
        <v/>
      </c>
      <c r="D1118" t="str">
        <f>IF(DATA_INPUT!C541="","",DATA_INPUT!C541)</f>
        <v/>
      </c>
      <c r="E1118" s="27" t="str">
        <f>IF(DATA_INPUT!D541="","",DATA_INPUT!D541)</f>
        <v/>
      </c>
      <c r="F1118" t="str">
        <f t="shared" si="25"/>
        <v/>
      </c>
      <c r="G1118" t="str">
        <f t="shared" si="26"/>
        <v/>
      </c>
    </row>
    <row r="1119" spans="1:7">
      <c r="A1119" s="10" t="str">
        <f>IF(DATA_INPUT!A542="","",DATA_INPUT!A542)</f>
        <v/>
      </c>
      <c r="B1119" t="str">
        <f t="shared" si="24"/>
        <v/>
      </c>
      <c r="C1119" t="str">
        <f>IF(DATA_INPUT!B542="","",DATA_INPUT!B542)</f>
        <v/>
      </c>
      <c r="D1119" t="str">
        <f>IF(DATA_INPUT!C542="","",DATA_INPUT!C542)</f>
        <v/>
      </c>
      <c r="E1119" s="27" t="str">
        <f>IF(DATA_INPUT!D542="","",DATA_INPUT!D542)</f>
        <v/>
      </c>
      <c r="F1119" t="str">
        <f t="shared" si="25"/>
        <v/>
      </c>
      <c r="G1119" t="str">
        <f t="shared" si="26"/>
        <v/>
      </c>
    </row>
    <row r="1120" spans="1:7">
      <c r="A1120" s="10" t="str">
        <f>IF(DATA_INPUT!A543="","",DATA_INPUT!A543)</f>
        <v/>
      </c>
      <c r="B1120" t="str">
        <f t="shared" si="24"/>
        <v/>
      </c>
      <c r="C1120" t="str">
        <f>IF(DATA_INPUT!B543="","",DATA_INPUT!B543)</f>
        <v/>
      </c>
      <c r="D1120" t="str">
        <f>IF(DATA_INPUT!C543="","",DATA_INPUT!C543)</f>
        <v/>
      </c>
      <c r="E1120" s="27" t="str">
        <f>IF(DATA_INPUT!D543="","",DATA_INPUT!D543)</f>
        <v/>
      </c>
      <c r="F1120" t="str">
        <f t="shared" si="25"/>
        <v/>
      </c>
      <c r="G1120" t="str">
        <f t="shared" si="26"/>
        <v/>
      </c>
    </row>
    <row r="1121" spans="1:7">
      <c r="A1121" s="10" t="str">
        <f>IF(DATA_INPUT!A544="","",DATA_INPUT!A544)</f>
        <v/>
      </c>
      <c r="B1121" t="str">
        <f t="shared" si="24"/>
        <v/>
      </c>
      <c r="C1121" t="str">
        <f>IF(DATA_INPUT!B544="","",DATA_INPUT!B544)</f>
        <v/>
      </c>
      <c r="D1121" t="str">
        <f>IF(DATA_INPUT!C544="","",DATA_INPUT!C544)</f>
        <v/>
      </c>
      <c r="E1121" s="27" t="str">
        <f>IF(DATA_INPUT!D544="","",DATA_INPUT!D544)</f>
        <v/>
      </c>
      <c r="F1121" t="str">
        <f t="shared" si="25"/>
        <v/>
      </c>
      <c r="G1121" t="str">
        <f t="shared" si="26"/>
        <v/>
      </c>
    </row>
    <row r="1122" spans="1:7">
      <c r="A1122" s="10" t="str">
        <f>IF(DATA_INPUT!A545="","",DATA_INPUT!A545)</f>
        <v/>
      </c>
      <c r="B1122" t="str">
        <f t="shared" si="24"/>
        <v/>
      </c>
      <c r="C1122" t="str">
        <f>IF(DATA_INPUT!B545="","",DATA_INPUT!B545)</f>
        <v/>
      </c>
      <c r="D1122" t="str">
        <f>IF(DATA_INPUT!C545="","",DATA_INPUT!C545)</f>
        <v/>
      </c>
      <c r="E1122" s="27" t="str">
        <f>IF(DATA_INPUT!D545="","",DATA_INPUT!D545)</f>
        <v/>
      </c>
      <c r="F1122" t="str">
        <f t="shared" si="25"/>
        <v/>
      </c>
      <c r="G1122" t="str">
        <f t="shared" si="26"/>
        <v/>
      </c>
    </row>
    <row r="1123" spans="1:7">
      <c r="A1123" s="10" t="str">
        <f>IF(DATA_INPUT!A546="","",DATA_INPUT!A546)</f>
        <v/>
      </c>
      <c r="B1123" t="str">
        <f t="shared" si="24"/>
        <v/>
      </c>
      <c r="C1123" t="str">
        <f>IF(DATA_INPUT!B546="","",DATA_INPUT!B546)</f>
        <v/>
      </c>
      <c r="D1123" t="str">
        <f>IF(DATA_INPUT!C546="","",DATA_INPUT!C546)</f>
        <v/>
      </c>
      <c r="E1123" s="27" t="str">
        <f>IF(DATA_INPUT!D546="","",DATA_INPUT!D546)</f>
        <v/>
      </c>
      <c r="F1123" t="str">
        <f t="shared" si="25"/>
        <v/>
      </c>
      <c r="G1123" t="str">
        <f t="shared" si="26"/>
        <v/>
      </c>
    </row>
    <row r="1124" spans="1:7">
      <c r="A1124" s="10" t="str">
        <f>IF(DATA_INPUT!A547="","",DATA_INPUT!A547)</f>
        <v/>
      </c>
      <c r="B1124" t="str">
        <f t="shared" si="24"/>
        <v/>
      </c>
      <c r="C1124" t="str">
        <f>IF(DATA_INPUT!B547="","",DATA_INPUT!B547)</f>
        <v/>
      </c>
      <c r="D1124" t="str">
        <f>IF(DATA_INPUT!C547="","",DATA_INPUT!C547)</f>
        <v/>
      </c>
      <c r="E1124" s="27" t="str">
        <f>IF(DATA_INPUT!D547="","",DATA_INPUT!D547)</f>
        <v/>
      </c>
      <c r="F1124" t="str">
        <f t="shared" si="25"/>
        <v/>
      </c>
      <c r="G1124" t="str">
        <f t="shared" si="26"/>
        <v/>
      </c>
    </row>
    <row r="1125" spans="1:7">
      <c r="A1125" s="10" t="str">
        <f>IF(DATA_INPUT!A548="","",DATA_INPUT!A548)</f>
        <v/>
      </c>
      <c r="B1125" t="str">
        <f t="shared" si="24"/>
        <v/>
      </c>
      <c r="C1125" t="str">
        <f>IF(DATA_INPUT!B548="","",DATA_INPUT!B548)</f>
        <v/>
      </c>
      <c r="D1125" t="str">
        <f>IF(DATA_INPUT!C548="","",DATA_INPUT!C548)</f>
        <v/>
      </c>
      <c r="E1125" s="27" t="str">
        <f>IF(DATA_INPUT!D548="","",DATA_INPUT!D548)</f>
        <v/>
      </c>
      <c r="F1125" t="str">
        <f t="shared" si="25"/>
        <v/>
      </c>
      <c r="G1125" t="str">
        <f t="shared" si="26"/>
        <v/>
      </c>
    </row>
    <row r="1126" spans="1:7">
      <c r="A1126" s="10" t="str">
        <f>IF(DATA_INPUT!A549="","",DATA_INPUT!A549)</f>
        <v/>
      </c>
      <c r="B1126" t="str">
        <f t="shared" si="24"/>
        <v/>
      </c>
      <c r="C1126" t="str">
        <f>IF(DATA_INPUT!B549="","",DATA_INPUT!B549)</f>
        <v/>
      </c>
      <c r="D1126" t="str">
        <f>IF(DATA_INPUT!C549="","",DATA_INPUT!C549)</f>
        <v/>
      </c>
      <c r="E1126" s="27" t="str">
        <f>IF(DATA_INPUT!D549="","",DATA_INPUT!D549)</f>
        <v/>
      </c>
      <c r="F1126" t="str">
        <f t="shared" si="25"/>
        <v/>
      </c>
      <c r="G1126" t="str">
        <f t="shared" si="26"/>
        <v/>
      </c>
    </row>
    <row r="1127" spans="1:7">
      <c r="A1127" s="10" t="str">
        <f>IF(DATA_INPUT!A550="","",DATA_INPUT!A550)</f>
        <v/>
      </c>
      <c r="B1127" t="str">
        <f t="shared" si="24"/>
        <v/>
      </c>
      <c r="C1127" t="str">
        <f>IF(DATA_INPUT!B550="","",DATA_INPUT!B550)</f>
        <v/>
      </c>
      <c r="D1127" t="str">
        <f>IF(DATA_INPUT!C550="","",DATA_INPUT!C550)</f>
        <v/>
      </c>
      <c r="E1127" s="27" t="str">
        <f>IF(DATA_INPUT!D550="","",DATA_INPUT!D550)</f>
        <v/>
      </c>
      <c r="F1127" t="str">
        <f t="shared" si="25"/>
        <v/>
      </c>
      <c r="G1127" t="str">
        <f t="shared" si="26"/>
        <v/>
      </c>
    </row>
    <row r="1128" spans="1:7">
      <c r="A1128" s="10" t="str">
        <f>IF(DATA_INPUT!A551="","",DATA_INPUT!A551)</f>
        <v/>
      </c>
      <c r="B1128" t="str">
        <f t="shared" si="24"/>
        <v/>
      </c>
      <c r="C1128" t="str">
        <f>IF(DATA_INPUT!B551="","",DATA_INPUT!B551)</f>
        <v/>
      </c>
      <c r="D1128" t="str">
        <f>IF(DATA_INPUT!C551="","",DATA_INPUT!C551)</f>
        <v/>
      </c>
      <c r="E1128" s="27" t="str">
        <f>IF(DATA_INPUT!D551="","",DATA_INPUT!D551)</f>
        <v/>
      </c>
      <c r="F1128" t="str">
        <f t="shared" si="25"/>
        <v/>
      </c>
      <c r="G1128" t="str">
        <f t="shared" si="26"/>
        <v/>
      </c>
    </row>
    <row r="1129" spans="1:7">
      <c r="A1129" s="10" t="str">
        <f>IF(DATA_INPUT!A552="","",DATA_INPUT!A552)</f>
        <v/>
      </c>
      <c r="B1129" t="str">
        <f t="shared" si="24"/>
        <v/>
      </c>
      <c r="C1129" t="str">
        <f>IF(DATA_INPUT!B552="","",DATA_INPUT!B552)</f>
        <v/>
      </c>
      <c r="D1129" t="str">
        <f>IF(DATA_INPUT!C552="","",DATA_INPUT!C552)</f>
        <v/>
      </c>
      <c r="E1129" s="27" t="str">
        <f>IF(DATA_INPUT!D552="","",DATA_INPUT!D552)</f>
        <v/>
      </c>
      <c r="F1129" t="str">
        <f t="shared" si="25"/>
        <v/>
      </c>
      <c r="G1129" t="str">
        <f t="shared" si="26"/>
        <v/>
      </c>
    </row>
    <row r="1130" spans="1:7">
      <c r="A1130" s="10" t="str">
        <f>IF(DATA_INPUT!A553="","",DATA_INPUT!A553)</f>
        <v/>
      </c>
      <c r="B1130" t="str">
        <f t="shared" si="24"/>
        <v/>
      </c>
      <c r="C1130" t="str">
        <f>IF(DATA_INPUT!B553="","",DATA_INPUT!B553)</f>
        <v/>
      </c>
      <c r="D1130" t="str">
        <f>IF(DATA_INPUT!C553="","",DATA_INPUT!C553)</f>
        <v/>
      </c>
      <c r="E1130" s="27" t="str">
        <f>IF(DATA_INPUT!D553="","",DATA_INPUT!D553)</f>
        <v/>
      </c>
      <c r="F1130" t="str">
        <f t="shared" si="25"/>
        <v/>
      </c>
      <c r="G1130" t="str">
        <f t="shared" si="26"/>
        <v/>
      </c>
    </row>
    <row r="1131" spans="1:7">
      <c r="A1131" s="10" t="str">
        <f>IF(DATA_INPUT!A554="","",DATA_INPUT!A554)</f>
        <v/>
      </c>
      <c r="B1131" t="str">
        <f t="shared" si="24"/>
        <v/>
      </c>
      <c r="C1131" t="str">
        <f>IF(DATA_INPUT!B554="","",DATA_INPUT!B554)</f>
        <v/>
      </c>
      <c r="D1131" t="str">
        <f>IF(DATA_INPUT!C554="","",DATA_INPUT!C554)</f>
        <v/>
      </c>
      <c r="E1131" s="27" t="str">
        <f>IF(DATA_INPUT!D554="","",DATA_INPUT!D554)</f>
        <v/>
      </c>
      <c r="F1131" t="str">
        <f t="shared" si="25"/>
        <v/>
      </c>
      <c r="G1131" t="str">
        <f t="shared" si="26"/>
        <v/>
      </c>
    </row>
    <row r="1132" spans="1:7">
      <c r="A1132" s="10" t="str">
        <f>IF(DATA_INPUT!A555="","",DATA_INPUT!A555)</f>
        <v/>
      </c>
      <c r="B1132" t="str">
        <f t="shared" si="24"/>
        <v/>
      </c>
      <c r="C1132" t="str">
        <f>IF(DATA_INPUT!B555="","",DATA_INPUT!B555)</f>
        <v/>
      </c>
      <c r="D1132" t="str">
        <f>IF(DATA_INPUT!C555="","",DATA_INPUT!C555)</f>
        <v/>
      </c>
      <c r="E1132" s="27" t="str">
        <f>IF(DATA_INPUT!D555="","",DATA_INPUT!D555)</f>
        <v/>
      </c>
      <c r="F1132" t="str">
        <f t="shared" si="25"/>
        <v/>
      </c>
      <c r="G1132" t="str">
        <f t="shared" si="26"/>
        <v/>
      </c>
    </row>
    <row r="1133" spans="1:7">
      <c r="A1133" s="10" t="str">
        <f>IF(DATA_INPUT!A556="","",DATA_INPUT!A556)</f>
        <v/>
      </c>
      <c r="B1133" t="str">
        <f t="shared" si="24"/>
        <v/>
      </c>
      <c r="C1133" t="str">
        <f>IF(DATA_INPUT!B556="","",DATA_INPUT!B556)</f>
        <v/>
      </c>
      <c r="D1133" t="str">
        <f>IF(DATA_INPUT!C556="","",DATA_INPUT!C556)</f>
        <v/>
      </c>
      <c r="E1133" s="27" t="str">
        <f>IF(DATA_INPUT!D556="","",DATA_INPUT!D556)</f>
        <v/>
      </c>
      <c r="F1133" t="str">
        <f t="shared" si="25"/>
        <v/>
      </c>
      <c r="G1133" t="str">
        <f t="shared" si="26"/>
        <v/>
      </c>
    </row>
    <row r="1134" spans="1:7">
      <c r="A1134" s="10" t="str">
        <f>IF(DATA_INPUT!A557="","",DATA_INPUT!A557)</f>
        <v/>
      </c>
      <c r="B1134" t="str">
        <f t="shared" si="24"/>
        <v/>
      </c>
      <c r="C1134" t="str">
        <f>IF(DATA_INPUT!B557="","",DATA_INPUT!B557)</f>
        <v/>
      </c>
      <c r="D1134" t="str">
        <f>IF(DATA_INPUT!C557="","",DATA_INPUT!C557)</f>
        <v/>
      </c>
      <c r="E1134" s="27" t="str">
        <f>IF(DATA_INPUT!D557="","",DATA_INPUT!D557)</f>
        <v/>
      </c>
      <c r="F1134" t="str">
        <f t="shared" si="25"/>
        <v/>
      </c>
      <c r="G1134" t="str">
        <f t="shared" si="26"/>
        <v/>
      </c>
    </row>
    <row r="1135" spans="1:7">
      <c r="A1135" s="10" t="str">
        <f>IF(DATA_INPUT!A558="","",DATA_INPUT!A558)</f>
        <v/>
      </c>
      <c r="B1135" t="str">
        <f t="shared" si="24"/>
        <v/>
      </c>
      <c r="C1135" t="str">
        <f>IF(DATA_INPUT!B558="","",DATA_INPUT!B558)</f>
        <v/>
      </c>
      <c r="D1135" t="str">
        <f>IF(DATA_INPUT!C558="","",DATA_INPUT!C558)</f>
        <v/>
      </c>
      <c r="E1135" s="27" t="str">
        <f>IF(DATA_INPUT!D558="","",DATA_INPUT!D558)</f>
        <v/>
      </c>
      <c r="F1135" t="str">
        <f t="shared" si="25"/>
        <v/>
      </c>
      <c r="G1135" t="str">
        <f t="shared" si="26"/>
        <v/>
      </c>
    </row>
    <row r="1136" spans="1:7">
      <c r="A1136" s="10" t="str">
        <f>IF(DATA_INPUT!A559="","",DATA_INPUT!A559)</f>
        <v/>
      </c>
      <c r="B1136" t="str">
        <f t="shared" si="24"/>
        <v/>
      </c>
      <c r="C1136" t="str">
        <f>IF(DATA_INPUT!B559="","",DATA_INPUT!B559)</f>
        <v/>
      </c>
      <c r="D1136" t="str">
        <f>IF(DATA_INPUT!C559="","",DATA_INPUT!C559)</f>
        <v/>
      </c>
      <c r="E1136" s="27" t="str">
        <f>IF(DATA_INPUT!D559="","",DATA_INPUT!D559)</f>
        <v/>
      </c>
      <c r="F1136" t="str">
        <f t="shared" si="25"/>
        <v/>
      </c>
      <c r="G1136" t="str">
        <f t="shared" si="26"/>
        <v/>
      </c>
    </row>
    <row r="1137" spans="1:7">
      <c r="A1137" s="10" t="str">
        <f>IF(DATA_INPUT!A560="","",DATA_INPUT!A560)</f>
        <v/>
      </c>
      <c r="B1137" t="str">
        <f t="shared" si="24"/>
        <v/>
      </c>
      <c r="C1137" t="str">
        <f>IF(DATA_INPUT!B560="","",DATA_INPUT!B560)</f>
        <v/>
      </c>
      <c r="D1137" t="str">
        <f>IF(DATA_INPUT!C560="","",DATA_INPUT!C560)</f>
        <v/>
      </c>
      <c r="E1137" s="27" t="str">
        <f>IF(DATA_INPUT!D560="","",DATA_INPUT!D560)</f>
        <v/>
      </c>
      <c r="F1137" t="str">
        <f t="shared" si="25"/>
        <v/>
      </c>
      <c r="G1137" t="str">
        <f t="shared" si="26"/>
        <v/>
      </c>
    </row>
    <row r="1138" spans="1:7">
      <c r="A1138" s="10" t="str">
        <f>IF(DATA_INPUT!A561="","",DATA_INPUT!A561)</f>
        <v/>
      </c>
      <c r="B1138" t="str">
        <f t="shared" si="24"/>
        <v/>
      </c>
      <c r="C1138" t="str">
        <f>IF(DATA_INPUT!B561="","",DATA_INPUT!B561)</f>
        <v/>
      </c>
      <c r="D1138" t="str">
        <f>IF(DATA_INPUT!C561="","",DATA_INPUT!C561)</f>
        <v/>
      </c>
      <c r="E1138" s="27" t="str">
        <f>IF(DATA_INPUT!D561="","",DATA_INPUT!D561)</f>
        <v/>
      </c>
      <c r="F1138" t="str">
        <f t="shared" si="25"/>
        <v/>
      </c>
      <c r="G1138" t="str">
        <f t="shared" si="26"/>
        <v/>
      </c>
    </row>
    <row r="1139" spans="1:7">
      <c r="A1139" s="10" t="str">
        <f>IF(DATA_INPUT!A562="","",DATA_INPUT!A562)</f>
        <v/>
      </c>
      <c r="B1139" t="str">
        <f t="shared" si="24"/>
        <v/>
      </c>
      <c r="C1139" t="str">
        <f>IF(DATA_INPUT!B562="","",DATA_INPUT!B562)</f>
        <v/>
      </c>
      <c r="D1139" t="str">
        <f>IF(DATA_INPUT!C562="","",DATA_INPUT!C562)</f>
        <v/>
      </c>
      <c r="E1139" s="27" t="str">
        <f>IF(DATA_INPUT!D562="","",DATA_INPUT!D562)</f>
        <v/>
      </c>
      <c r="F1139" t="str">
        <f t="shared" si="25"/>
        <v/>
      </c>
      <c r="G1139" t="str">
        <f t="shared" si="26"/>
        <v/>
      </c>
    </row>
    <row r="1140" spans="1:7">
      <c r="A1140" s="10" t="str">
        <f>IF(DATA_INPUT!A563="","",DATA_INPUT!A563)</f>
        <v/>
      </c>
      <c r="B1140" t="str">
        <f t="shared" si="24"/>
        <v/>
      </c>
      <c r="C1140" t="str">
        <f>IF(DATA_INPUT!B563="","",DATA_INPUT!B563)</f>
        <v/>
      </c>
      <c r="D1140" t="str">
        <f>IF(DATA_INPUT!C563="","",DATA_INPUT!C563)</f>
        <v/>
      </c>
      <c r="E1140" s="27" t="str">
        <f>IF(DATA_INPUT!D563="","",DATA_INPUT!D563)</f>
        <v/>
      </c>
      <c r="F1140" t="str">
        <f t="shared" si="25"/>
        <v/>
      </c>
      <c r="G1140" t="str">
        <f t="shared" si="26"/>
        <v/>
      </c>
    </row>
    <row r="1141" spans="1:7">
      <c r="A1141" s="10" t="str">
        <f>IF(DATA_INPUT!A564="","",DATA_INPUT!A564)</f>
        <v/>
      </c>
      <c r="B1141" t="str">
        <f t="shared" si="24"/>
        <v/>
      </c>
      <c r="C1141" t="str">
        <f>IF(DATA_INPUT!B564="","",DATA_INPUT!B564)</f>
        <v/>
      </c>
      <c r="D1141" t="str">
        <f>IF(DATA_INPUT!C564="","",DATA_INPUT!C564)</f>
        <v/>
      </c>
      <c r="E1141" s="27" t="str">
        <f>IF(DATA_INPUT!D564="","",DATA_INPUT!D564)</f>
        <v/>
      </c>
      <c r="F1141" t="str">
        <f t="shared" si="25"/>
        <v/>
      </c>
      <c r="G1141" t="str">
        <f t="shared" si="26"/>
        <v/>
      </c>
    </row>
    <row r="1142" spans="1:7">
      <c r="A1142" s="10" t="str">
        <f>IF(DATA_INPUT!A565="","",DATA_INPUT!A565)</f>
        <v/>
      </c>
      <c r="B1142" t="str">
        <f t="shared" si="24"/>
        <v/>
      </c>
      <c r="C1142" t="str">
        <f>IF(DATA_INPUT!B565="","",DATA_INPUT!B565)</f>
        <v/>
      </c>
      <c r="D1142" t="str">
        <f>IF(DATA_INPUT!C565="","",DATA_INPUT!C565)</f>
        <v/>
      </c>
      <c r="E1142" s="27" t="str">
        <f>IF(DATA_INPUT!D565="","",DATA_INPUT!D565)</f>
        <v/>
      </c>
      <c r="F1142" t="str">
        <f t="shared" si="25"/>
        <v/>
      </c>
      <c r="G1142" t="str">
        <f t="shared" si="26"/>
        <v/>
      </c>
    </row>
    <row r="1143" spans="1:7">
      <c r="A1143" s="10" t="str">
        <f>IF(DATA_INPUT!A566="","",DATA_INPUT!A566)</f>
        <v/>
      </c>
      <c r="B1143" t="str">
        <f t="shared" si="24"/>
        <v/>
      </c>
      <c r="C1143" t="str">
        <f>IF(DATA_INPUT!B566="","",DATA_INPUT!B566)</f>
        <v/>
      </c>
      <c r="D1143" t="str">
        <f>IF(DATA_INPUT!C566="","",DATA_INPUT!C566)</f>
        <v/>
      </c>
      <c r="E1143" s="27" t="str">
        <f>IF(DATA_INPUT!D566="","",DATA_INPUT!D566)</f>
        <v/>
      </c>
      <c r="F1143" t="str">
        <f t="shared" si="25"/>
        <v/>
      </c>
      <c r="G1143" t="str">
        <f t="shared" si="26"/>
        <v/>
      </c>
    </row>
    <row r="1144" spans="1:7">
      <c r="A1144" s="10" t="str">
        <f>IF(DATA_INPUT!A567="","",DATA_INPUT!A567)</f>
        <v/>
      </c>
      <c r="B1144" t="str">
        <f t="shared" si="24"/>
        <v/>
      </c>
      <c r="C1144" t="str">
        <f>IF(DATA_INPUT!B567="","",DATA_INPUT!B567)</f>
        <v/>
      </c>
      <c r="D1144" t="str">
        <f>IF(DATA_INPUT!C567="","",DATA_INPUT!C567)</f>
        <v/>
      </c>
      <c r="E1144" s="27" t="str">
        <f>IF(DATA_INPUT!D567="","",DATA_INPUT!D567)</f>
        <v/>
      </c>
      <c r="F1144" t="str">
        <f t="shared" si="25"/>
        <v/>
      </c>
      <c r="G1144" t="str">
        <f t="shared" si="26"/>
        <v/>
      </c>
    </row>
    <row r="1145" spans="1:7">
      <c r="A1145" s="10" t="str">
        <f>IF(DATA_INPUT!A568="","",DATA_INPUT!A568)</f>
        <v/>
      </c>
      <c r="B1145" t="str">
        <f t="shared" si="24"/>
        <v/>
      </c>
      <c r="C1145" t="str">
        <f>IF(DATA_INPUT!B568="","",DATA_INPUT!B568)</f>
        <v/>
      </c>
      <c r="D1145" t="str">
        <f>IF(DATA_INPUT!C568="","",DATA_INPUT!C568)</f>
        <v/>
      </c>
      <c r="E1145" s="27" t="str">
        <f>IF(DATA_INPUT!D568="","",DATA_INPUT!D568)</f>
        <v/>
      </c>
      <c r="F1145" t="str">
        <f t="shared" si="25"/>
        <v/>
      </c>
      <c r="G1145" t="str">
        <f t="shared" si="26"/>
        <v/>
      </c>
    </row>
    <row r="1146" spans="1:7">
      <c r="A1146" s="10" t="str">
        <f>IF(DATA_INPUT!A569="","",DATA_INPUT!A569)</f>
        <v/>
      </c>
      <c r="B1146" t="str">
        <f t="shared" si="24"/>
        <v/>
      </c>
      <c r="C1146" t="str">
        <f>IF(DATA_INPUT!B569="","",DATA_INPUT!B569)</f>
        <v/>
      </c>
      <c r="D1146" t="str">
        <f>IF(DATA_INPUT!C569="","",DATA_INPUT!C569)</f>
        <v/>
      </c>
      <c r="E1146" s="27" t="str">
        <f>IF(DATA_INPUT!D569="","",DATA_INPUT!D569)</f>
        <v/>
      </c>
      <c r="F1146" t="str">
        <f t="shared" si="25"/>
        <v/>
      </c>
      <c r="G1146" t="str">
        <f t="shared" si="26"/>
        <v/>
      </c>
    </row>
    <row r="1147" spans="1:7">
      <c r="A1147" s="10" t="str">
        <f>IF(DATA_INPUT!A570="","",DATA_INPUT!A570)</f>
        <v/>
      </c>
      <c r="B1147" t="str">
        <f t="shared" si="24"/>
        <v/>
      </c>
      <c r="C1147" t="str">
        <f>IF(DATA_INPUT!B570="","",DATA_INPUT!B570)</f>
        <v/>
      </c>
      <c r="D1147" t="str">
        <f>IF(DATA_INPUT!C570="","",DATA_INPUT!C570)</f>
        <v/>
      </c>
      <c r="E1147" s="27" t="str">
        <f>IF(DATA_INPUT!D570="","",DATA_INPUT!D570)</f>
        <v/>
      </c>
      <c r="F1147" t="str">
        <f t="shared" si="25"/>
        <v/>
      </c>
      <c r="G1147" t="str">
        <f t="shared" si="26"/>
        <v/>
      </c>
    </row>
    <row r="1148" spans="1:7">
      <c r="A1148" s="10" t="str">
        <f>IF(DATA_INPUT!A571="","",DATA_INPUT!A571)</f>
        <v/>
      </c>
      <c r="B1148" t="str">
        <f t="shared" si="24"/>
        <v/>
      </c>
      <c r="C1148" t="str">
        <f>IF(DATA_INPUT!B571="","",DATA_INPUT!B571)</f>
        <v/>
      </c>
      <c r="D1148" t="str">
        <f>IF(DATA_INPUT!C571="","",DATA_INPUT!C571)</f>
        <v/>
      </c>
      <c r="E1148" s="27" t="str">
        <f>IF(DATA_INPUT!D571="","",DATA_INPUT!D571)</f>
        <v/>
      </c>
      <c r="F1148" t="str">
        <f t="shared" si="25"/>
        <v/>
      </c>
      <c r="G1148" t="str">
        <f t="shared" si="26"/>
        <v/>
      </c>
    </row>
    <row r="1149" spans="1:7">
      <c r="A1149" s="10" t="str">
        <f>IF(DATA_INPUT!A572="","",DATA_INPUT!A572)</f>
        <v/>
      </c>
      <c r="B1149" t="str">
        <f t="shared" si="24"/>
        <v/>
      </c>
      <c r="C1149" t="str">
        <f>IF(DATA_INPUT!B572="","",DATA_INPUT!B572)</f>
        <v/>
      </c>
      <c r="D1149" t="str">
        <f>IF(DATA_INPUT!C572="","",DATA_INPUT!C572)</f>
        <v/>
      </c>
      <c r="E1149" s="27" t="str">
        <f>IF(DATA_INPUT!D572="","",DATA_INPUT!D572)</f>
        <v/>
      </c>
      <c r="F1149" t="str">
        <f t="shared" si="25"/>
        <v/>
      </c>
      <c r="G1149" t="str">
        <f t="shared" si="26"/>
        <v/>
      </c>
    </row>
    <row r="1150" spans="1:7">
      <c r="A1150" s="10" t="str">
        <f>IF(DATA_INPUT!A573="","",DATA_INPUT!A573)</f>
        <v/>
      </c>
      <c r="B1150" t="str">
        <f t="shared" si="24"/>
        <v/>
      </c>
      <c r="C1150" t="str">
        <f>IF(DATA_INPUT!B573="","",DATA_INPUT!B573)</f>
        <v/>
      </c>
      <c r="D1150" t="str">
        <f>IF(DATA_INPUT!C573="","",DATA_INPUT!C573)</f>
        <v/>
      </c>
      <c r="E1150" s="27" t="str">
        <f>IF(DATA_INPUT!D573="","",DATA_INPUT!D573)</f>
        <v/>
      </c>
      <c r="F1150" t="str">
        <f t="shared" si="25"/>
        <v/>
      </c>
      <c r="G1150" t="str">
        <f t="shared" si="26"/>
        <v/>
      </c>
    </row>
    <row r="1151" spans="1:7">
      <c r="A1151" s="10" t="str">
        <f>IF(DATA_INPUT!A574="","",DATA_INPUT!A574)</f>
        <v/>
      </c>
      <c r="B1151" t="str">
        <f t="shared" si="24"/>
        <v/>
      </c>
      <c r="C1151" t="str">
        <f>IF(DATA_INPUT!B574="","",DATA_INPUT!B574)</f>
        <v/>
      </c>
      <c r="D1151" t="str">
        <f>IF(DATA_INPUT!C574="","",DATA_INPUT!C574)</f>
        <v/>
      </c>
      <c r="E1151" s="27" t="str">
        <f>IF(DATA_INPUT!D574="","",DATA_INPUT!D574)</f>
        <v/>
      </c>
      <c r="F1151" t="str">
        <f t="shared" si="25"/>
        <v/>
      </c>
      <c r="G1151" t="str">
        <f t="shared" si="26"/>
        <v/>
      </c>
    </row>
    <row r="1152" spans="1:7">
      <c r="A1152" s="10" t="str">
        <f>IF(DATA_INPUT!A575="","",DATA_INPUT!A575)</f>
        <v/>
      </c>
      <c r="B1152" t="str">
        <f t="shared" si="24"/>
        <v/>
      </c>
      <c r="C1152" t="str">
        <f>IF(DATA_INPUT!B575="","",DATA_INPUT!B575)</f>
        <v/>
      </c>
      <c r="D1152" t="str">
        <f>IF(DATA_INPUT!C575="","",DATA_INPUT!C575)</f>
        <v/>
      </c>
      <c r="E1152" s="27" t="str">
        <f>IF(DATA_INPUT!D575="","",DATA_INPUT!D575)</f>
        <v/>
      </c>
      <c r="F1152" t="str">
        <f t="shared" si="25"/>
        <v/>
      </c>
      <c r="G1152" t="str">
        <f t="shared" si="26"/>
        <v/>
      </c>
    </row>
    <row r="1153" spans="1:7">
      <c r="A1153" s="10" t="str">
        <f>IF(DATA_INPUT!A576="","",DATA_INPUT!A576)</f>
        <v/>
      </c>
      <c r="B1153" t="str">
        <f t="shared" si="24"/>
        <v/>
      </c>
      <c r="C1153" t="str">
        <f>IF(DATA_INPUT!B576="","",DATA_INPUT!B576)</f>
        <v/>
      </c>
      <c r="D1153" t="str">
        <f>IF(DATA_INPUT!C576="","",DATA_INPUT!C576)</f>
        <v/>
      </c>
      <c r="E1153" s="27" t="str">
        <f>IF(DATA_INPUT!D576="","",DATA_INPUT!D576)</f>
        <v/>
      </c>
      <c r="F1153" t="str">
        <f t="shared" si="25"/>
        <v/>
      </c>
      <c r="G1153" t="str">
        <f t="shared" si="26"/>
        <v/>
      </c>
    </row>
    <row r="1154" spans="1:7">
      <c r="A1154" s="10" t="str">
        <f>IF(DATA_INPUT!A577="","",DATA_INPUT!A577)</f>
        <v/>
      </c>
      <c r="B1154" t="str">
        <f t="shared" si="24"/>
        <v/>
      </c>
      <c r="C1154" t="str">
        <f>IF(DATA_INPUT!B577="","",DATA_INPUT!B577)</f>
        <v/>
      </c>
      <c r="D1154" t="str">
        <f>IF(DATA_INPUT!C577="","",DATA_INPUT!C577)</f>
        <v/>
      </c>
      <c r="E1154" s="27" t="str">
        <f>IF(DATA_INPUT!D577="","",DATA_INPUT!D577)</f>
        <v/>
      </c>
      <c r="F1154" t="str">
        <f t="shared" si="25"/>
        <v/>
      </c>
      <c r="G1154" t="str">
        <f t="shared" si="26"/>
        <v/>
      </c>
    </row>
    <row r="1155" spans="1:7">
      <c r="A1155" s="10" t="str">
        <f>IF(DATA_INPUT!A578="","",DATA_INPUT!A578)</f>
        <v/>
      </c>
      <c r="B1155" t="str">
        <f t="shared" si="24"/>
        <v/>
      </c>
      <c r="C1155" t="str">
        <f>IF(DATA_INPUT!B578="","",DATA_INPUT!B578)</f>
        <v/>
      </c>
      <c r="D1155" t="str">
        <f>IF(DATA_INPUT!C578="","",DATA_INPUT!C578)</f>
        <v/>
      </c>
      <c r="E1155" s="27" t="str">
        <f>IF(DATA_INPUT!D578="","",DATA_INPUT!D578)</f>
        <v/>
      </c>
      <c r="F1155" t="str">
        <f t="shared" si="25"/>
        <v/>
      </c>
      <c r="G1155" t="str">
        <f t="shared" si="26"/>
        <v/>
      </c>
    </row>
    <row r="1156" spans="1:7">
      <c r="A1156" s="10" t="str">
        <f>IF(DATA_INPUT!A579="","",DATA_INPUT!A579)</f>
        <v/>
      </c>
      <c r="B1156" t="str">
        <f t="shared" ref="B1156:B1219" si="27">IF(A1156="","",TEXT(A1156,"dddd"))</f>
        <v/>
      </c>
      <c r="C1156" t="str">
        <f>IF(DATA_INPUT!B579="","",DATA_INPUT!B579)</f>
        <v/>
      </c>
      <c r="D1156" t="str">
        <f>IF(DATA_INPUT!C579="","",DATA_INPUT!C579)</f>
        <v/>
      </c>
      <c r="E1156" s="27" t="str">
        <f>IF(DATA_INPUT!D579="","",DATA_INPUT!D579)</f>
        <v/>
      </c>
      <c r="F1156" t="str">
        <f t="shared" ref="F1156:F1219" si="28">IF(A1156="","",TEXT(A1156,"mmm yyyy"))</f>
        <v/>
      </c>
      <c r="G1156" t="str">
        <f t="shared" ref="G1156:G1219" si="29">IF(A1156="","",WEEKNUM(A1156))</f>
        <v/>
      </c>
    </row>
    <row r="1157" spans="1:7">
      <c r="A1157" s="10" t="str">
        <f>IF(DATA_INPUT!A580="","",DATA_INPUT!A580)</f>
        <v/>
      </c>
      <c r="B1157" t="str">
        <f t="shared" si="27"/>
        <v/>
      </c>
      <c r="C1157" t="str">
        <f>IF(DATA_INPUT!B580="","",DATA_INPUT!B580)</f>
        <v/>
      </c>
      <c r="D1157" t="str">
        <f>IF(DATA_INPUT!C580="","",DATA_INPUT!C580)</f>
        <v/>
      </c>
      <c r="E1157" s="27" t="str">
        <f>IF(DATA_INPUT!D580="","",DATA_INPUT!D580)</f>
        <v/>
      </c>
      <c r="F1157" t="str">
        <f t="shared" si="28"/>
        <v/>
      </c>
      <c r="G1157" t="str">
        <f t="shared" si="29"/>
        <v/>
      </c>
    </row>
    <row r="1158" spans="1:7">
      <c r="A1158" s="10" t="str">
        <f>IF(DATA_INPUT!A581="","",DATA_INPUT!A581)</f>
        <v/>
      </c>
      <c r="B1158" t="str">
        <f t="shared" si="27"/>
        <v/>
      </c>
      <c r="C1158" t="str">
        <f>IF(DATA_INPUT!B581="","",DATA_INPUT!B581)</f>
        <v/>
      </c>
      <c r="D1158" t="str">
        <f>IF(DATA_INPUT!C581="","",DATA_INPUT!C581)</f>
        <v/>
      </c>
      <c r="E1158" s="27" t="str">
        <f>IF(DATA_INPUT!D581="","",DATA_INPUT!D581)</f>
        <v/>
      </c>
      <c r="F1158" t="str">
        <f t="shared" si="28"/>
        <v/>
      </c>
      <c r="G1158" t="str">
        <f t="shared" si="29"/>
        <v/>
      </c>
    </row>
    <row r="1159" spans="1:7">
      <c r="A1159" s="10" t="str">
        <f>IF(DATA_INPUT!A582="","",DATA_INPUT!A582)</f>
        <v/>
      </c>
      <c r="B1159" t="str">
        <f t="shared" si="27"/>
        <v/>
      </c>
      <c r="C1159" t="str">
        <f>IF(DATA_INPUT!B582="","",DATA_INPUT!B582)</f>
        <v/>
      </c>
      <c r="D1159" t="str">
        <f>IF(DATA_INPUT!C582="","",DATA_INPUT!C582)</f>
        <v/>
      </c>
      <c r="E1159" s="27" t="str">
        <f>IF(DATA_INPUT!D582="","",DATA_INPUT!D582)</f>
        <v/>
      </c>
      <c r="F1159" t="str">
        <f t="shared" si="28"/>
        <v/>
      </c>
      <c r="G1159" t="str">
        <f t="shared" si="29"/>
        <v/>
      </c>
    </row>
    <row r="1160" spans="1:7">
      <c r="A1160" s="10" t="str">
        <f>IF(DATA_INPUT!A583="","",DATA_INPUT!A583)</f>
        <v/>
      </c>
      <c r="B1160" t="str">
        <f t="shared" si="27"/>
        <v/>
      </c>
      <c r="C1160" t="str">
        <f>IF(DATA_INPUT!B583="","",DATA_INPUT!B583)</f>
        <v/>
      </c>
      <c r="D1160" t="str">
        <f>IF(DATA_INPUT!C583="","",DATA_INPUT!C583)</f>
        <v/>
      </c>
      <c r="E1160" s="27" t="str">
        <f>IF(DATA_INPUT!D583="","",DATA_INPUT!D583)</f>
        <v/>
      </c>
      <c r="F1160" t="str">
        <f t="shared" si="28"/>
        <v/>
      </c>
      <c r="G1160" t="str">
        <f t="shared" si="29"/>
        <v/>
      </c>
    </row>
    <row r="1161" spans="1:7">
      <c r="A1161" s="10" t="str">
        <f>IF(DATA_INPUT!A584="","",DATA_INPUT!A584)</f>
        <v/>
      </c>
      <c r="B1161" t="str">
        <f t="shared" si="27"/>
        <v/>
      </c>
      <c r="C1161" t="str">
        <f>IF(DATA_INPUT!B584="","",DATA_INPUT!B584)</f>
        <v/>
      </c>
      <c r="D1161" t="str">
        <f>IF(DATA_INPUT!C584="","",DATA_INPUT!C584)</f>
        <v/>
      </c>
      <c r="E1161" s="27" t="str">
        <f>IF(DATA_INPUT!D584="","",DATA_INPUT!D584)</f>
        <v/>
      </c>
      <c r="F1161" t="str">
        <f t="shared" si="28"/>
        <v/>
      </c>
      <c r="G1161" t="str">
        <f t="shared" si="29"/>
        <v/>
      </c>
    </row>
    <row r="1162" spans="1:7">
      <c r="A1162" s="10" t="str">
        <f>IF(DATA_INPUT!A585="","",DATA_INPUT!A585)</f>
        <v/>
      </c>
      <c r="B1162" t="str">
        <f t="shared" si="27"/>
        <v/>
      </c>
      <c r="C1162" t="str">
        <f>IF(DATA_INPUT!B585="","",DATA_INPUT!B585)</f>
        <v/>
      </c>
      <c r="D1162" t="str">
        <f>IF(DATA_INPUT!C585="","",DATA_INPUT!C585)</f>
        <v/>
      </c>
      <c r="E1162" s="27" t="str">
        <f>IF(DATA_INPUT!D585="","",DATA_INPUT!D585)</f>
        <v/>
      </c>
      <c r="F1162" t="str">
        <f t="shared" si="28"/>
        <v/>
      </c>
      <c r="G1162" t="str">
        <f t="shared" si="29"/>
        <v/>
      </c>
    </row>
    <row r="1163" spans="1:7">
      <c r="A1163" s="10" t="str">
        <f>IF(DATA_INPUT!A586="","",DATA_INPUT!A586)</f>
        <v/>
      </c>
      <c r="B1163" t="str">
        <f t="shared" si="27"/>
        <v/>
      </c>
      <c r="C1163" t="str">
        <f>IF(DATA_INPUT!B586="","",DATA_INPUT!B586)</f>
        <v/>
      </c>
      <c r="D1163" t="str">
        <f>IF(DATA_INPUT!C586="","",DATA_INPUT!C586)</f>
        <v/>
      </c>
      <c r="E1163" s="27" t="str">
        <f>IF(DATA_INPUT!D586="","",DATA_INPUT!D586)</f>
        <v/>
      </c>
      <c r="F1163" t="str">
        <f t="shared" si="28"/>
        <v/>
      </c>
      <c r="G1163" t="str">
        <f t="shared" si="29"/>
        <v/>
      </c>
    </row>
    <row r="1164" spans="1:7">
      <c r="A1164" s="10" t="str">
        <f>IF(DATA_INPUT!A587="","",DATA_INPUT!A587)</f>
        <v/>
      </c>
      <c r="B1164" t="str">
        <f t="shared" si="27"/>
        <v/>
      </c>
      <c r="C1164" t="str">
        <f>IF(DATA_INPUT!B587="","",DATA_INPUT!B587)</f>
        <v/>
      </c>
      <c r="D1164" t="str">
        <f>IF(DATA_INPUT!C587="","",DATA_INPUT!C587)</f>
        <v/>
      </c>
      <c r="E1164" s="27" t="str">
        <f>IF(DATA_INPUT!D587="","",DATA_INPUT!D587)</f>
        <v/>
      </c>
      <c r="F1164" t="str">
        <f t="shared" si="28"/>
        <v/>
      </c>
      <c r="G1164" t="str">
        <f t="shared" si="29"/>
        <v/>
      </c>
    </row>
    <row r="1165" spans="1:7">
      <c r="A1165" s="10" t="str">
        <f>IF(DATA_INPUT!A588="","",DATA_INPUT!A588)</f>
        <v/>
      </c>
      <c r="B1165" t="str">
        <f t="shared" si="27"/>
        <v/>
      </c>
      <c r="C1165" t="str">
        <f>IF(DATA_INPUT!B588="","",DATA_INPUT!B588)</f>
        <v/>
      </c>
      <c r="D1165" t="str">
        <f>IF(DATA_INPUT!C588="","",DATA_INPUT!C588)</f>
        <v/>
      </c>
      <c r="E1165" s="27" t="str">
        <f>IF(DATA_INPUT!D588="","",DATA_INPUT!D588)</f>
        <v/>
      </c>
      <c r="F1165" t="str">
        <f t="shared" si="28"/>
        <v/>
      </c>
      <c r="G1165" t="str">
        <f t="shared" si="29"/>
        <v/>
      </c>
    </row>
    <row r="1166" spans="1:7">
      <c r="A1166" s="10" t="str">
        <f>IF(DATA_INPUT!A589="","",DATA_INPUT!A589)</f>
        <v/>
      </c>
      <c r="B1166" t="str">
        <f t="shared" si="27"/>
        <v/>
      </c>
      <c r="C1166" t="str">
        <f>IF(DATA_INPUT!B589="","",DATA_INPUT!B589)</f>
        <v/>
      </c>
      <c r="D1166" t="str">
        <f>IF(DATA_INPUT!C589="","",DATA_INPUT!C589)</f>
        <v/>
      </c>
      <c r="E1166" s="27" t="str">
        <f>IF(DATA_INPUT!D589="","",DATA_INPUT!D589)</f>
        <v/>
      </c>
      <c r="F1166" t="str">
        <f t="shared" si="28"/>
        <v/>
      </c>
      <c r="G1166" t="str">
        <f t="shared" si="29"/>
        <v/>
      </c>
    </row>
    <row r="1167" spans="1:7">
      <c r="A1167" s="10" t="str">
        <f>IF(DATA_INPUT!A590="","",DATA_INPUT!A590)</f>
        <v/>
      </c>
      <c r="B1167" t="str">
        <f t="shared" si="27"/>
        <v/>
      </c>
      <c r="C1167" t="str">
        <f>IF(DATA_INPUT!B590="","",DATA_INPUT!B590)</f>
        <v/>
      </c>
      <c r="D1167" t="str">
        <f>IF(DATA_INPUT!C590="","",DATA_INPUT!C590)</f>
        <v/>
      </c>
      <c r="E1167" s="27" t="str">
        <f>IF(DATA_INPUT!D590="","",DATA_INPUT!D590)</f>
        <v/>
      </c>
      <c r="F1167" t="str">
        <f t="shared" si="28"/>
        <v/>
      </c>
      <c r="G1167" t="str">
        <f t="shared" si="29"/>
        <v/>
      </c>
    </row>
    <row r="1168" spans="1:7">
      <c r="A1168" s="10" t="str">
        <f>IF(DATA_INPUT!A591="","",DATA_INPUT!A591)</f>
        <v/>
      </c>
      <c r="B1168" t="str">
        <f t="shared" si="27"/>
        <v/>
      </c>
      <c r="C1168" t="str">
        <f>IF(DATA_INPUT!B591="","",DATA_INPUT!B591)</f>
        <v/>
      </c>
      <c r="D1168" t="str">
        <f>IF(DATA_INPUT!C591="","",DATA_INPUT!C591)</f>
        <v/>
      </c>
      <c r="E1168" s="27" t="str">
        <f>IF(DATA_INPUT!D591="","",DATA_INPUT!D591)</f>
        <v/>
      </c>
      <c r="F1168" t="str">
        <f t="shared" si="28"/>
        <v/>
      </c>
      <c r="G1168" t="str">
        <f t="shared" si="29"/>
        <v/>
      </c>
    </row>
    <row r="1169" spans="1:7">
      <c r="A1169" s="10" t="str">
        <f>IF(DATA_INPUT!A592="","",DATA_INPUT!A592)</f>
        <v/>
      </c>
      <c r="B1169" t="str">
        <f t="shared" si="27"/>
        <v/>
      </c>
      <c r="C1169" t="str">
        <f>IF(DATA_INPUT!B592="","",DATA_INPUT!B592)</f>
        <v/>
      </c>
      <c r="D1169" t="str">
        <f>IF(DATA_INPUT!C592="","",DATA_INPUT!C592)</f>
        <v/>
      </c>
      <c r="E1169" s="27" t="str">
        <f>IF(DATA_INPUT!D592="","",DATA_INPUT!D592)</f>
        <v/>
      </c>
      <c r="F1169" t="str">
        <f t="shared" si="28"/>
        <v/>
      </c>
      <c r="G1169" t="str">
        <f t="shared" si="29"/>
        <v/>
      </c>
    </row>
    <row r="1170" spans="1:7">
      <c r="A1170" s="10" t="str">
        <f>IF(DATA_INPUT!A593="","",DATA_INPUT!A593)</f>
        <v/>
      </c>
      <c r="B1170" t="str">
        <f t="shared" si="27"/>
        <v/>
      </c>
      <c r="C1170" t="str">
        <f>IF(DATA_INPUT!B593="","",DATA_INPUT!B593)</f>
        <v/>
      </c>
      <c r="D1170" t="str">
        <f>IF(DATA_INPUT!C593="","",DATA_INPUT!C593)</f>
        <v/>
      </c>
      <c r="E1170" s="27" t="str">
        <f>IF(DATA_INPUT!D593="","",DATA_INPUT!D593)</f>
        <v/>
      </c>
      <c r="F1170" t="str">
        <f t="shared" si="28"/>
        <v/>
      </c>
      <c r="G1170" t="str">
        <f t="shared" si="29"/>
        <v/>
      </c>
    </row>
    <row r="1171" spans="1:7">
      <c r="A1171" s="10" t="str">
        <f>IF(DATA_INPUT!A594="","",DATA_INPUT!A594)</f>
        <v/>
      </c>
      <c r="B1171" t="str">
        <f t="shared" si="27"/>
        <v/>
      </c>
      <c r="C1171" t="str">
        <f>IF(DATA_INPUT!B594="","",DATA_INPUT!B594)</f>
        <v/>
      </c>
      <c r="D1171" t="str">
        <f>IF(DATA_INPUT!C594="","",DATA_INPUT!C594)</f>
        <v/>
      </c>
      <c r="E1171" s="27" t="str">
        <f>IF(DATA_INPUT!D594="","",DATA_INPUT!D594)</f>
        <v/>
      </c>
      <c r="F1171" t="str">
        <f t="shared" si="28"/>
        <v/>
      </c>
      <c r="G1171" t="str">
        <f t="shared" si="29"/>
        <v/>
      </c>
    </row>
    <row r="1172" spans="1:7">
      <c r="A1172" s="10" t="str">
        <f>IF(DATA_INPUT!A595="","",DATA_INPUT!A595)</f>
        <v/>
      </c>
      <c r="B1172" t="str">
        <f t="shared" si="27"/>
        <v/>
      </c>
      <c r="C1172" t="str">
        <f>IF(DATA_INPUT!B595="","",DATA_INPUT!B595)</f>
        <v/>
      </c>
      <c r="D1172" t="str">
        <f>IF(DATA_INPUT!C595="","",DATA_INPUT!C595)</f>
        <v/>
      </c>
      <c r="E1172" s="27" t="str">
        <f>IF(DATA_INPUT!D595="","",DATA_INPUT!D595)</f>
        <v/>
      </c>
      <c r="F1172" t="str">
        <f t="shared" si="28"/>
        <v/>
      </c>
      <c r="G1172" t="str">
        <f t="shared" si="29"/>
        <v/>
      </c>
    </row>
    <row r="1173" spans="1:7">
      <c r="A1173" s="10" t="str">
        <f>IF(DATA_INPUT!A596="","",DATA_INPUT!A596)</f>
        <v/>
      </c>
      <c r="B1173" t="str">
        <f t="shared" si="27"/>
        <v/>
      </c>
      <c r="C1173" t="str">
        <f>IF(DATA_INPUT!B596="","",DATA_INPUT!B596)</f>
        <v/>
      </c>
      <c r="D1173" t="str">
        <f>IF(DATA_INPUT!C596="","",DATA_INPUT!C596)</f>
        <v/>
      </c>
      <c r="E1173" s="27" t="str">
        <f>IF(DATA_INPUT!D596="","",DATA_INPUT!D596)</f>
        <v/>
      </c>
      <c r="F1173" t="str">
        <f t="shared" si="28"/>
        <v/>
      </c>
      <c r="G1173" t="str">
        <f t="shared" si="29"/>
        <v/>
      </c>
    </row>
    <row r="1174" spans="1:7">
      <c r="A1174" s="10" t="str">
        <f>IF(DATA_INPUT!A597="","",DATA_INPUT!A597)</f>
        <v/>
      </c>
      <c r="B1174" t="str">
        <f t="shared" si="27"/>
        <v/>
      </c>
      <c r="C1174" t="str">
        <f>IF(DATA_INPUT!B597="","",DATA_INPUT!B597)</f>
        <v/>
      </c>
      <c r="D1174" t="str">
        <f>IF(DATA_INPUT!C597="","",DATA_INPUT!C597)</f>
        <v/>
      </c>
      <c r="E1174" s="27" t="str">
        <f>IF(DATA_INPUT!D597="","",DATA_INPUT!D597)</f>
        <v/>
      </c>
      <c r="F1174" t="str">
        <f t="shared" si="28"/>
        <v/>
      </c>
      <c r="G1174" t="str">
        <f t="shared" si="29"/>
        <v/>
      </c>
    </row>
    <row r="1175" spans="1:7">
      <c r="A1175" s="10" t="str">
        <f>IF(DATA_INPUT!A598="","",DATA_INPUT!A598)</f>
        <v/>
      </c>
      <c r="B1175" t="str">
        <f t="shared" si="27"/>
        <v/>
      </c>
      <c r="C1175" t="str">
        <f>IF(DATA_INPUT!B598="","",DATA_INPUT!B598)</f>
        <v/>
      </c>
      <c r="D1175" t="str">
        <f>IF(DATA_INPUT!C598="","",DATA_INPUT!C598)</f>
        <v/>
      </c>
      <c r="E1175" s="27" t="str">
        <f>IF(DATA_INPUT!D598="","",DATA_INPUT!D598)</f>
        <v/>
      </c>
      <c r="F1175" t="str">
        <f t="shared" si="28"/>
        <v/>
      </c>
      <c r="G1175" t="str">
        <f t="shared" si="29"/>
        <v/>
      </c>
    </row>
    <row r="1176" spans="1:7">
      <c r="A1176" s="10" t="str">
        <f>IF(DATA_INPUT!A599="","",DATA_INPUT!A599)</f>
        <v/>
      </c>
      <c r="B1176" t="str">
        <f t="shared" si="27"/>
        <v/>
      </c>
      <c r="C1176" t="str">
        <f>IF(DATA_INPUT!B599="","",DATA_INPUT!B599)</f>
        <v/>
      </c>
      <c r="D1176" t="str">
        <f>IF(DATA_INPUT!C599="","",DATA_INPUT!C599)</f>
        <v/>
      </c>
      <c r="E1176" s="27" t="str">
        <f>IF(DATA_INPUT!D599="","",DATA_INPUT!D599)</f>
        <v/>
      </c>
      <c r="F1176" t="str">
        <f t="shared" si="28"/>
        <v/>
      </c>
      <c r="G1176" t="str">
        <f t="shared" si="29"/>
        <v/>
      </c>
    </row>
    <row r="1177" spans="1:7">
      <c r="A1177" s="10" t="str">
        <f>IF(DATA_INPUT!A600="","",DATA_INPUT!A600)</f>
        <v/>
      </c>
      <c r="B1177" t="str">
        <f t="shared" si="27"/>
        <v/>
      </c>
      <c r="C1177" t="str">
        <f>IF(DATA_INPUT!B600="","",DATA_INPUT!B600)</f>
        <v/>
      </c>
      <c r="D1177" t="str">
        <f>IF(DATA_INPUT!C600="","",DATA_INPUT!C600)</f>
        <v/>
      </c>
      <c r="E1177" s="27" t="str">
        <f>IF(DATA_INPUT!D600="","",DATA_INPUT!D600)</f>
        <v/>
      </c>
      <c r="F1177" t="str">
        <f t="shared" si="28"/>
        <v/>
      </c>
      <c r="G1177" t="str">
        <f t="shared" si="29"/>
        <v/>
      </c>
    </row>
    <row r="1178" spans="1:7">
      <c r="A1178" s="10" t="str">
        <f>IF(DATA_INPUT!A601="","",DATA_INPUT!A601)</f>
        <v/>
      </c>
      <c r="B1178" t="str">
        <f t="shared" si="27"/>
        <v/>
      </c>
      <c r="C1178" t="str">
        <f>IF(DATA_INPUT!B601="","",DATA_INPUT!B601)</f>
        <v/>
      </c>
      <c r="D1178" t="str">
        <f>IF(DATA_INPUT!C601="","",DATA_INPUT!C601)</f>
        <v/>
      </c>
      <c r="E1178" s="27" t="str">
        <f>IF(DATA_INPUT!D601="","",DATA_INPUT!D601)</f>
        <v/>
      </c>
      <c r="F1178" t="str">
        <f t="shared" si="28"/>
        <v/>
      </c>
      <c r="G1178" t="str">
        <f t="shared" si="29"/>
        <v/>
      </c>
    </row>
    <row r="1179" spans="1:7">
      <c r="A1179" s="10" t="str">
        <f>IF(DATA_INPUT!A602="","",DATA_INPUT!A602)</f>
        <v/>
      </c>
      <c r="B1179" t="str">
        <f t="shared" si="27"/>
        <v/>
      </c>
      <c r="C1179" t="str">
        <f>IF(DATA_INPUT!B602="","",DATA_INPUT!B602)</f>
        <v/>
      </c>
      <c r="D1179" t="str">
        <f>IF(DATA_INPUT!C602="","",DATA_INPUT!C602)</f>
        <v/>
      </c>
      <c r="E1179" s="27" t="str">
        <f>IF(DATA_INPUT!D602="","",DATA_INPUT!D602)</f>
        <v/>
      </c>
      <c r="F1179" t="str">
        <f t="shared" si="28"/>
        <v/>
      </c>
      <c r="G1179" t="str">
        <f t="shared" si="29"/>
        <v/>
      </c>
    </row>
    <row r="1180" spans="1:7">
      <c r="A1180" s="10" t="str">
        <f>IF(DATA_INPUT!A603="","",DATA_INPUT!A603)</f>
        <v/>
      </c>
      <c r="B1180" t="str">
        <f t="shared" si="27"/>
        <v/>
      </c>
      <c r="C1180" t="str">
        <f>IF(DATA_INPUT!B603="","",DATA_INPUT!B603)</f>
        <v/>
      </c>
      <c r="D1180" t="str">
        <f>IF(DATA_INPUT!C603="","",DATA_INPUT!C603)</f>
        <v/>
      </c>
      <c r="E1180" s="27" t="str">
        <f>IF(DATA_INPUT!D603="","",DATA_INPUT!D603)</f>
        <v/>
      </c>
      <c r="F1180" t="str">
        <f t="shared" si="28"/>
        <v/>
      </c>
      <c r="G1180" t="str">
        <f t="shared" si="29"/>
        <v/>
      </c>
    </row>
    <row r="1181" spans="1:7">
      <c r="A1181" s="10" t="str">
        <f>IF(DATA_INPUT!A604="","",DATA_INPUT!A604)</f>
        <v/>
      </c>
      <c r="B1181" t="str">
        <f t="shared" si="27"/>
        <v/>
      </c>
      <c r="C1181" t="str">
        <f>IF(DATA_INPUT!B604="","",DATA_INPUT!B604)</f>
        <v/>
      </c>
      <c r="D1181" t="str">
        <f>IF(DATA_INPUT!C604="","",DATA_INPUT!C604)</f>
        <v/>
      </c>
      <c r="E1181" s="27" t="str">
        <f>IF(DATA_INPUT!D604="","",DATA_INPUT!D604)</f>
        <v/>
      </c>
      <c r="F1181" t="str">
        <f t="shared" si="28"/>
        <v/>
      </c>
      <c r="G1181" t="str">
        <f t="shared" si="29"/>
        <v/>
      </c>
    </row>
    <row r="1182" spans="1:7">
      <c r="A1182" s="10" t="str">
        <f>IF(DATA_INPUT!A605="","",DATA_INPUT!A605)</f>
        <v/>
      </c>
      <c r="B1182" t="str">
        <f t="shared" si="27"/>
        <v/>
      </c>
      <c r="C1182" t="str">
        <f>IF(DATA_INPUT!B605="","",DATA_INPUT!B605)</f>
        <v/>
      </c>
      <c r="D1182" t="str">
        <f>IF(DATA_INPUT!C605="","",DATA_INPUT!C605)</f>
        <v/>
      </c>
      <c r="E1182" s="27" t="str">
        <f>IF(DATA_INPUT!D605="","",DATA_INPUT!D605)</f>
        <v/>
      </c>
      <c r="F1182" t="str">
        <f t="shared" si="28"/>
        <v/>
      </c>
      <c r="G1182" t="str">
        <f t="shared" si="29"/>
        <v/>
      </c>
    </row>
    <row r="1183" spans="1:7">
      <c r="A1183" s="10" t="str">
        <f>IF(DATA_INPUT!A606="","",DATA_INPUT!A606)</f>
        <v/>
      </c>
      <c r="B1183" t="str">
        <f t="shared" si="27"/>
        <v/>
      </c>
      <c r="C1183" t="str">
        <f>IF(DATA_INPUT!B606="","",DATA_INPUT!B606)</f>
        <v/>
      </c>
      <c r="D1183" t="str">
        <f>IF(DATA_INPUT!C606="","",DATA_INPUT!C606)</f>
        <v/>
      </c>
      <c r="E1183" s="27" t="str">
        <f>IF(DATA_INPUT!D606="","",DATA_INPUT!D606)</f>
        <v/>
      </c>
      <c r="F1183" t="str">
        <f t="shared" si="28"/>
        <v/>
      </c>
      <c r="G1183" t="str">
        <f t="shared" si="29"/>
        <v/>
      </c>
    </row>
    <row r="1184" spans="1:7">
      <c r="A1184" s="10" t="str">
        <f>IF(DATA_INPUT!A607="","",DATA_INPUT!A607)</f>
        <v/>
      </c>
      <c r="B1184" t="str">
        <f t="shared" si="27"/>
        <v/>
      </c>
      <c r="C1184" t="str">
        <f>IF(DATA_INPUT!B607="","",DATA_INPUT!B607)</f>
        <v/>
      </c>
      <c r="D1184" t="str">
        <f>IF(DATA_INPUT!C607="","",DATA_INPUT!C607)</f>
        <v/>
      </c>
      <c r="E1184" s="27" t="str">
        <f>IF(DATA_INPUT!D607="","",DATA_INPUT!D607)</f>
        <v/>
      </c>
      <c r="F1184" t="str">
        <f t="shared" si="28"/>
        <v/>
      </c>
      <c r="G1184" t="str">
        <f t="shared" si="29"/>
        <v/>
      </c>
    </row>
    <row r="1185" spans="1:7">
      <c r="A1185" s="10" t="str">
        <f>IF(DATA_INPUT!A608="","",DATA_INPUT!A608)</f>
        <v/>
      </c>
      <c r="B1185" t="str">
        <f t="shared" si="27"/>
        <v/>
      </c>
      <c r="C1185" t="str">
        <f>IF(DATA_INPUT!B608="","",DATA_INPUT!B608)</f>
        <v/>
      </c>
      <c r="D1185" t="str">
        <f>IF(DATA_INPUT!C608="","",DATA_INPUT!C608)</f>
        <v/>
      </c>
      <c r="E1185" s="27" t="str">
        <f>IF(DATA_INPUT!D608="","",DATA_INPUT!D608)</f>
        <v/>
      </c>
      <c r="F1185" t="str">
        <f t="shared" si="28"/>
        <v/>
      </c>
      <c r="G1185" t="str">
        <f t="shared" si="29"/>
        <v/>
      </c>
    </row>
    <row r="1186" spans="1:7">
      <c r="A1186" s="10" t="str">
        <f>IF(DATA_INPUT!A609="","",DATA_INPUT!A609)</f>
        <v/>
      </c>
      <c r="B1186" t="str">
        <f t="shared" si="27"/>
        <v/>
      </c>
      <c r="C1186" t="str">
        <f>IF(DATA_INPUT!B609="","",DATA_INPUT!B609)</f>
        <v/>
      </c>
      <c r="D1186" t="str">
        <f>IF(DATA_INPUT!C609="","",DATA_INPUT!C609)</f>
        <v/>
      </c>
      <c r="E1186" s="27" t="str">
        <f>IF(DATA_INPUT!D609="","",DATA_INPUT!D609)</f>
        <v/>
      </c>
      <c r="F1186" t="str">
        <f t="shared" si="28"/>
        <v/>
      </c>
      <c r="G1186" t="str">
        <f t="shared" si="29"/>
        <v/>
      </c>
    </row>
    <row r="1187" spans="1:7">
      <c r="A1187" s="10" t="str">
        <f>IF(DATA_INPUT!A610="","",DATA_INPUT!A610)</f>
        <v/>
      </c>
      <c r="B1187" t="str">
        <f t="shared" si="27"/>
        <v/>
      </c>
      <c r="C1187" t="str">
        <f>IF(DATA_INPUT!B610="","",DATA_INPUT!B610)</f>
        <v/>
      </c>
      <c r="D1187" t="str">
        <f>IF(DATA_INPUT!C610="","",DATA_INPUT!C610)</f>
        <v/>
      </c>
      <c r="E1187" s="27" t="str">
        <f>IF(DATA_INPUT!D610="","",DATA_INPUT!D610)</f>
        <v/>
      </c>
      <c r="F1187" t="str">
        <f t="shared" si="28"/>
        <v/>
      </c>
      <c r="G1187" t="str">
        <f t="shared" si="29"/>
        <v/>
      </c>
    </row>
    <row r="1188" spans="1:7">
      <c r="A1188" s="10" t="str">
        <f>IF(DATA_INPUT!A611="","",DATA_INPUT!A611)</f>
        <v/>
      </c>
      <c r="B1188" t="str">
        <f t="shared" si="27"/>
        <v/>
      </c>
      <c r="C1188" t="str">
        <f>IF(DATA_INPUT!B611="","",DATA_INPUT!B611)</f>
        <v/>
      </c>
      <c r="D1188" t="str">
        <f>IF(DATA_INPUT!C611="","",DATA_INPUT!C611)</f>
        <v/>
      </c>
      <c r="E1188" s="27" t="str">
        <f>IF(DATA_INPUT!D611="","",DATA_INPUT!D611)</f>
        <v/>
      </c>
      <c r="F1188" t="str">
        <f t="shared" si="28"/>
        <v/>
      </c>
      <c r="G1188" t="str">
        <f t="shared" si="29"/>
        <v/>
      </c>
    </row>
    <row r="1189" spans="1:7">
      <c r="A1189" s="10" t="str">
        <f>IF(DATA_INPUT!A612="","",DATA_INPUT!A612)</f>
        <v/>
      </c>
      <c r="B1189" t="str">
        <f t="shared" si="27"/>
        <v/>
      </c>
      <c r="C1189" t="str">
        <f>IF(DATA_INPUT!B612="","",DATA_INPUT!B612)</f>
        <v/>
      </c>
      <c r="D1189" t="str">
        <f>IF(DATA_INPUT!C612="","",DATA_INPUT!C612)</f>
        <v/>
      </c>
      <c r="E1189" s="27" t="str">
        <f>IF(DATA_INPUT!D612="","",DATA_INPUT!D612)</f>
        <v/>
      </c>
      <c r="F1189" t="str">
        <f t="shared" si="28"/>
        <v/>
      </c>
      <c r="G1189" t="str">
        <f t="shared" si="29"/>
        <v/>
      </c>
    </row>
    <row r="1190" spans="1:7">
      <c r="A1190" s="10" t="str">
        <f>IF(DATA_INPUT!A613="","",DATA_INPUT!A613)</f>
        <v/>
      </c>
      <c r="B1190" t="str">
        <f t="shared" si="27"/>
        <v/>
      </c>
      <c r="C1190" t="str">
        <f>IF(DATA_INPUT!B613="","",DATA_INPUT!B613)</f>
        <v/>
      </c>
      <c r="D1190" t="str">
        <f>IF(DATA_INPUT!C613="","",DATA_INPUT!C613)</f>
        <v/>
      </c>
      <c r="E1190" s="27" t="str">
        <f>IF(DATA_INPUT!D613="","",DATA_INPUT!D613)</f>
        <v/>
      </c>
      <c r="F1190" t="str">
        <f t="shared" si="28"/>
        <v/>
      </c>
      <c r="G1190" t="str">
        <f t="shared" si="29"/>
        <v/>
      </c>
    </row>
    <row r="1191" spans="1:7">
      <c r="A1191" s="10" t="str">
        <f>IF(DATA_INPUT!A614="","",DATA_INPUT!A614)</f>
        <v/>
      </c>
      <c r="B1191" t="str">
        <f t="shared" si="27"/>
        <v/>
      </c>
      <c r="C1191" t="str">
        <f>IF(DATA_INPUT!B614="","",DATA_INPUT!B614)</f>
        <v/>
      </c>
      <c r="D1191" t="str">
        <f>IF(DATA_INPUT!C614="","",DATA_INPUT!C614)</f>
        <v/>
      </c>
      <c r="E1191" s="27" t="str">
        <f>IF(DATA_INPUT!D614="","",DATA_INPUT!D614)</f>
        <v/>
      </c>
      <c r="F1191" t="str">
        <f t="shared" si="28"/>
        <v/>
      </c>
      <c r="G1191" t="str">
        <f t="shared" si="29"/>
        <v/>
      </c>
    </row>
    <row r="1192" spans="1:7">
      <c r="A1192" s="10" t="str">
        <f>IF(DATA_INPUT!A615="","",DATA_INPUT!A615)</f>
        <v/>
      </c>
      <c r="B1192" t="str">
        <f t="shared" si="27"/>
        <v/>
      </c>
      <c r="C1192" t="str">
        <f>IF(DATA_INPUT!B615="","",DATA_INPUT!B615)</f>
        <v/>
      </c>
      <c r="D1192" t="str">
        <f>IF(DATA_INPUT!C615="","",DATA_INPUT!C615)</f>
        <v/>
      </c>
      <c r="E1192" s="27" t="str">
        <f>IF(DATA_INPUT!D615="","",DATA_INPUT!D615)</f>
        <v/>
      </c>
      <c r="F1192" t="str">
        <f t="shared" si="28"/>
        <v/>
      </c>
      <c r="G1192" t="str">
        <f t="shared" si="29"/>
        <v/>
      </c>
    </row>
    <row r="1193" spans="1:7">
      <c r="A1193" s="10" t="str">
        <f>IF(DATA_INPUT!A616="","",DATA_INPUT!A616)</f>
        <v/>
      </c>
      <c r="B1193" t="str">
        <f t="shared" si="27"/>
        <v/>
      </c>
      <c r="C1193" t="str">
        <f>IF(DATA_INPUT!B616="","",DATA_INPUT!B616)</f>
        <v/>
      </c>
      <c r="D1193" t="str">
        <f>IF(DATA_INPUT!C616="","",DATA_INPUT!C616)</f>
        <v/>
      </c>
      <c r="E1193" s="27" t="str">
        <f>IF(DATA_INPUT!D616="","",DATA_INPUT!D616)</f>
        <v/>
      </c>
      <c r="F1193" t="str">
        <f t="shared" si="28"/>
        <v/>
      </c>
      <c r="G1193" t="str">
        <f t="shared" si="29"/>
        <v/>
      </c>
    </row>
    <row r="1194" spans="1:7">
      <c r="A1194" s="10" t="str">
        <f>IF(DATA_INPUT!A617="","",DATA_INPUT!A617)</f>
        <v/>
      </c>
      <c r="B1194" t="str">
        <f t="shared" si="27"/>
        <v/>
      </c>
      <c r="C1194" t="str">
        <f>IF(DATA_INPUT!B617="","",DATA_INPUT!B617)</f>
        <v/>
      </c>
      <c r="D1194" t="str">
        <f>IF(DATA_INPUT!C617="","",DATA_INPUT!C617)</f>
        <v/>
      </c>
      <c r="E1194" s="27" t="str">
        <f>IF(DATA_INPUT!D617="","",DATA_INPUT!D617)</f>
        <v/>
      </c>
      <c r="F1194" t="str">
        <f t="shared" si="28"/>
        <v/>
      </c>
      <c r="G1194" t="str">
        <f t="shared" si="29"/>
        <v/>
      </c>
    </row>
    <row r="1195" spans="1:7">
      <c r="A1195" s="10" t="str">
        <f>IF(DATA_INPUT!A618="","",DATA_INPUT!A618)</f>
        <v/>
      </c>
      <c r="B1195" t="str">
        <f t="shared" si="27"/>
        <v/>
      </c>
      <c r="C1195" t="str">
        <f>IF(DATA_INPUT!B618="","",DATA_INPUT!B618)</f>
        <v/>
      </c>
      <c r="D1195" t="str">
        <f>IF(DATA_INPUT!C618="","",DATA_INPUT!C618)</f>
        <v/>
      </c>
      <c r="E1195" s="27" t="str">
        <f>IF(DATA_INPUT!D618="","",DATA_INPUT!D618)</f>
        <v/>
      </c>
      <c r="F1195" t="str">
        <f t="shared" si="28"/>
        <v/>
      </c>
      <c r="G1195" t="str">
        <f t="shared" si="29"/>
        <v/>
      </c>
    </row>
    <row r="1196" spans="1:7">
      <c r="A1196" s="10" t="str">
        <f>IF(DATA_INPUT!A619="","",DATA_INPUT!A619)</f>
        <v/>
      </c>
      <c r="B1196" t="str">
        <f t="shared" si="27"/>
        <v/>
      </c>
      <c r="C1196" t="str">
        <f>IF(DATA_INPUT!B619="","",DATA_INPUT!B619)</f>
        <v/>
      </c>
      <c r="D1196" t="str">
        <f>IF(DATA_INPUT!C619="","",DATA_INPUT!C619)</f>
        <v/>
      </c>
      <c r="E1196" s="27" t="str">
        <f>IF(DATA_INPUT!D619="","",DATA_INPUT!D619)</f>
        <v/>
      </c>
      <c r="F1196" t="str">
        <f t="shared" si="28"/>
        <v/>
      </c>
      <c r="G1196" t="str">
        <f t="shared" si="29"/>
        <v/>
      </c>
    </row>
    <row r="1197" spans="1:7">
      <c r="A1197" s="10" t="str">
        <f>IF(DATA_INPUT!A620="","",DATA_INPUT!A620)</f>
        <v/>
      </c>
      <c r="B1197" t="str">
        <f t="shared" si="27"/>
        <v/>
      </c>
      <c r="C1197" t="str">
        <f>IF(DATA_INPUT!B620="","",DATA_INPUT!B620)</f>
        <v/>
      </c>
      <c r="D1197" t="str">
        <f>IF(DATA_INPUT!C620="","",DATA_INPUT!C620)</f>
        <v/>
      </c>
      <c r="E1197" s="27" t="str">
        <f>IF(DATA_INPUT!D620="","",DATA_INPUT!D620)</f>
        <v/>
      </c>
      <c r="F1197" t="str">
        <f t="shared" si="28"/>
        <v/>
      </c>
      <c r="G1197" t="str">
        <f t="shared" si="29"/>
        <v/>
      </c>
    </row>
    <row r="1198" spans="1:7">
      <c r="A1198" s="10" t="str">
        <f>IF(DATA_INPUT!A621="","",DATA_INPUT!A621)</f>
        <v/>
      </c>
      <c r="B1198" t="str">
        <f t="shared" si="27"/>
        <v/>
      </c>
      <c r="C1198" t="str">
        <f>IF(DATA_INPUT!B621="","",DATA_INPUT!B621)</f>
        <v/>
      </c>
      <c r="D1198" t="str">
        <f>IF(DATA_INPUT!C621="","",DATA_INPUT!C621)</f>
        <v/>
      </c>
      <c r="E1198" s="27" t="str">
        <f>IF(DATA_INPUT!D621="","",DATA_INPUT!D621)</f>
        <v/>
      </c>
      <c r="F1198" t="str">
        <f t="shared" si="28"/>
        <v/>
      </c>
      <c r="G1198" t="str">
        <f t="shared" si="29"/>
        <v/>
      </c>
    </row>
    <row r="1199" spans="1:7">
      <c r="A1199" s="10" t="str">
        <f>IF(DATA_INPUT!A622="","",DATA_INPUT!A622)</f>
        <v/>
      </c>
      <c r="B1199" t="str">
        <f t="shared" si="27"/>
        <v/>
      </c>
      <c r="C1199" t="str">
        <f>IF(DATA_INPUT!B622="","",DATA_INPUT!B622)</f>
        <v/>
      </c>
      <c r="D1199" t="str">
        <f>IF(DATA_INPUT!C622="","",DATA_INPUT!C622)</f>
        <v/>
      </c>
      <c r="E1199" s="27" t="str">
        <f>IF(DATA_INPUT!D622="","",DATA_INPUT!D622)</f>
        <v/>
      </c>
      <c r="F1199" t="str">
        <f t="shared" si="28"/>
        <v/>
      </c>
      <c r="G1199" t="str">
        <f t="shared" si="29"/>
        <v/>
      </c>
    </row>
    <row r="1200" spans="1:7">
      <c r="A1200" s="10" t="str">
        <f>IF(DATA_INPUT!A623="","",DATA_INPUT!A623)</f>
        <v/>
      </c>
      <c r="B1200" t="str">
        <f t="shared" si="27"/>
        <v/>
      </c>
      <c r="C1200" t="str">
        <f>IF(DATA_INPUT!B623="","",DATA_INPUT!B623)</f>
        <v/>
      </c>
      <c r="D1200" t="str">
        <f>IF(DATA_INPUT!C623="","",DATA_INPUT!C623)</f>
        <v/>
      </c>
      <c r="E1200" s="27" t="str">
        <f>IF(DATA_INPUT!D623="","",DATA_INPUT!D623)</f>
        <v/>
      </c>
      <c r="F1200" t="str">
        <f t="shared" si="28"/>
        <v/>
      </c>
      <c r="G1200" t="str">
        <f t="shared" si="29"/>
        <v/>
      </c>
    </row>
    <row r="1201" spans="1:7">
      <c r="A1201" s="10" t="str">
        <f>IF(DATA_INPUT!A624="","",DATA_INPUT!A624)</f>
        <v/>
      </c>
      <c r="B1201" t="str">
        <f t="shared" si="27"/>
        <v/>
      </c>
      <c r="C1201" t="str">
        <f>IF(DATA_INPUT!B624="","",DATA_INPUT!B624)</f>
        <v/>
      </c>
      <c r="D1201" t="str">
        <f>IF(DATA_INPUT!C624="","",DATA_INPUT!C624)</f>
        <v/>
      </c>
      <c r="E1201" s="27" t="str">
        <f>IF(DATA_INPUT!D624="","",DATA_INPUT!D624)</f>
        <v/>
      </c>
      <c r="F1201" t="str">
        <f t="shared" si="28"/>
        <v/>
      </c>
      <c r="G1201" t="str">
        <f t="shared" si="29"/>
        <v/>
      </c>
    </row>
    <row r="1202" spans="1:7">
      <c r="A1202" s="10" t="str">
        <f>IF(DATA_INPUT!A625="","",DATA_INPUT!A625)</f>
        <v/>
      </c>
      <c r="B1202" t="str">
        <f t="shared" si="27"/>
        <v/>
      </c>
      <c r="C1202" t="str">
        <f>IF(DATA_INPUT!B625="","",DATA_INPUT!B625)</f>
        <v/>
      </c>
      <c r="D1202" t="str">
        <f>IF(DATA_INPUT!C625="","",DATA_INPUT!C625)</f>
        <v/>
      </c>
      <c r="E1202" s="27" t="str">
        <f>IF(DATA_INPUT!D625="","",DATA_INPUT!D625)</f>
        <v/>
      </c>
      <c r="F1202" t="str">
        <f t="shared" si="28"/>
        <v/>
      </c>
      <c r="G1202" t="str">
        <f t="shared" si="29"/>
        <v/>
      </c>
    </row>
    <row r="1203" spans="1:7">
      <c r="A1203" s="10" t="str">
        <f>IF(DATA_INPUT!A626="","",DATA_INPUT!A626)</f>
        <v/>
      </c>
      <c r="B1203" t="str">
        <f t="shared" si="27"/>
        <v/>
      </c>
      <c r="C1203" t="str">
        <f>IF(DATA_INPUT!B626="","",DATA_INPUT!B626)</f>
        <v/>
      </c>
      <c r="D1203" t="str">
        <f>IF(DATA_INPUT!C626="","",DATA_INPUT!C626)</f>
        <v/>
      </c>
      <c r="E1203" s="27" t="str">
        <f>IF(DATA_INPUT!D626="","",DATA_INPUT!D626)</f>
        <v/>
      </c>
      <c r="F1203" t="str">
        <f t="shared" si="28"/>
        <v/>
      </c>
      <c r="G1203" t="str">
        <f t="shared" si="29"/>
        <v/>
      </c>
    </row>
    <row r="1204" spans="1:7">
      <c r="A1204" s="10" t="str">
        <f>IF(DATA_INPUT!A627="","",DATA_INPUT!A627)</f>
        <v/>
      </c>
      <c r="B1204" t="str">
        <f t="shared" si="27"/>
        <v/>
      </c>
      <c r="C1204" t="str">
        <f>IF(DATA_INPUT!B627="","",DATA_INPUT!B627)</f>
        <v/>
      </c>
      <c r="D1204" t="str">
        <f>IF(DATA_INPUT!C627="","",DATA_INPUT!C627)</f>
        <v/>
      </c>
      <c r="E1204" s="27" t="str">
        <f>IF(DATA_INPUT!D627="","",DATA_INPUT!D627)</f>
        <v/>
      </c>
      <c r="F1204" t="str">
        <f t="shared" si="28"/>
        <v/>
      </c>
      <c r="G1204" t="str">
        <f t="shared" si="29"/>
        <v/>
      </c>
    </row>
    <row r="1205" spans="1:7">
      <c r="A1205" s="10" t="str">
        <f>IF(DATA_INPUT!A628="","",DATA_INPUT!A628)</f>
        <v/>
      </c>
      <c r="B1205" t="str">
        <f t="shared" si="27"/>
        <v/>
      </c>
      <c r="C1205" t="str">
        <f>IF(DATA_INPUT!B628="","",DATA_INPUT!B628)</f>
        <v/>
      </c>
      <c r="D1205" t="str">
        <f>IF(DATA_INPUT!C628="","",DATA_INPUT!C628)</f>
        <v/>
      </c>
      <c r="E1205" s="27" t="str">
        <f>IF(DATA_INPUT!D628="","",DATA_INPUT!D628)</f>
        <v/>
      </c>
      <c r="F1205" t="str">
        <f t="shared" si="28"/>
        <v/>
      </c>
      <c r="G1205" t="str">
        <f t="shared" si="29"/>
        <v/>
      </c>
    </row>
    <row r="1206" spans="1:7">
      <c r="A1206" s="10" t="str">
        <f>IF(DATA_INPUT!A629="","",DATA_INPUT!A629)</f>
        <v/>
      </c>
      <c r="B1206" t="str">
        <f t="shared" si="27"/>
        <v/>
      </c>
      <c r="C1206" t="str">
        <f>IF(DATA_INPUT!B629="","",DATA_INPUT!B629)</f>
        <v/>
      </c>
      <c r="D1206" t="str">
        <f>IF(DATA_INPUT!C629="","",DATA_INPUT!C629)</f>
        <v/>
      </c>
      <c r="E1206" s="27" t="str">
        <f>IF(DATA_INPUT!D629="","",DATA_INPUT!D629)</f>
        <v/>
      </c>
      <c r="F1206" t="str">
        <f t="shared" si="28"/>
        <v/>
      </c>
      <c r="G1206" t="str">
        <f t="shared" si="29"/>
        <v/>
      </c>
    </row>
    <row r="1207" spans="1:7">
      <c r="A1207" s="10" t="str">
        <f>IF(DATA_INPUT!A630="","",DATA_INPUT!A630)</f>
        <v/>
      </c>
      <c r="B1207" t="str">
        <f t="shared" si="27"/>
        <v/>
      </c>
      <c r="C1207" t="str">
        <f>IF(DATA_INPUT!B630="","",DATA_INPUT!B630)</f>
        <v/>
      </c>
      <c r="D1207" t="str">
        <f>IF(DATA_INPUT!C630="","",DATA_INPUT!C630)</f>
        <v/>
      </c>
      <c r="E1207" s="27" t="str">
        <f>IF(DATA_INPUT!D630="","",DATA_INPUT!D630)</f>
        <v/>
      </c>
      <c r="F1207" t="str">
        <f t="shared" si="28"/>
        <v/>
      </c>
      <c r="G1207" t="str">
        <f t="shared" si="29"/>
        <v/>
      </c>
    </row>
    <row r="1208" spans="1:7">
      <c r="A1208" s="10" t="str">
        <f>IF(DATA_INPUT!A631="","",DATA_INPUT!A631)</f>
        <v/>
      </c>
      <c r="B1208" t="str">
        <f t="shared" si="27"/>
        <v/>
      </c>
      <c r="C1208" t="str">
        <f>IF(DATA_INPUT!B631="","",DATA_INPUT!B631)</f>
        <v/>
      </c>
      <c r="D1208" t="str">
        <f>IF(DATA_INPUT!C631="","",DATA_INPUT!C631)</f>
        <v/>
      </c>
      <c r="E1208" s="27" t="str">
        <f>IF(DATA_INPUT!D631="","",DATA_INPUT!D631)</f>
        <v/>
      </c>
      <c r="F1208" t="str">
        <f t="shared" si="28"/>
        <v/>
      </c>
      <c r="G1208" t="str">
        <f t="shared" si="29"/>
        <v/>
      </c>
    </row>
    <row r="1209" spans="1:7">
      <c r="A1209" s="10" t="str">
        <f>IF(DATA_INPUT!A632="","",DATA_INPUT!A632)</f>
        <v/>
      </c>
      <c r="B1209" t="str">
        <f t="shared" si="27"/>
        <v/>
      </c>
      <c r="C1209" t="str">
        <f>IF(DATA_INPUT!B632="","",DATA_INPUT!B632)</f>
        <v/>
      </c>
      <c r="D1209" t="str">
        <f>IF(DATA_INPUT!C632="","",DATA_INPUT!C632)</f>
        <v/>
      </c>
      <c r="E1209" s="27" t="str">
        <f>IF(DATA_INPUT!D632="","",DATA_INPUT!D632)</f>
        <v/>
      </c>
      <c r="F1209" t="str">
        <f t="shared" si="28"/>
        <v/>
      </c>
      <c r="G1209" t="str">
        <f t="shared" si="29"/>
        <v/>
      </c>
    </row>
    <row r="1210" spans="1:7">
      <c r="A1210" s="10" t="str">
        <f>IF(DATA_INPUT!A633="","",DATA_INPUT!A633)</f>
        <v/>
      </c>
      <c r="B1210" t="str">
        <f t="shared" si="27"/>
        <v/>
      </c>
      <c r="C1210" t="str">
        <f>IF(DATA_INPUT!B633="","",DATA_INPUT!B633)</f>
        <v/>
      </c>
      <c r="D1210" t="str">
        <f>IF(DATA_INPUT!C633="","",DATA_INPUT!C633)</f>
        <v/>
      </c>
      <c r="E1210" s="27" t="str">
        <f>IF(DATA_INPUT!D633="","",DATA_INPUT!D633)</f>
        <v/>
      </c>
      <c r="F1210" t="str">
        <f t="shared" si="28"/>
        <v/>
      </c>
      <c r="G1210" t="str">
        <f t="shared" si="29"/>
        <v/>
      </c>
    </row>
    <row r="1211" spans="1:7">
      <c r="A1211" s="10" t="str">
        <f>IF(DATA_INPUT!A634="","",DATA_INPUT!A634)</f>
        <v/>
      </c>
      <c r="B1211" t="str">
        <f t="shared" si="27"/>
        <v/>
      </c>
      <c r="C1211" t="str">
        <f>IF(DATA_INPUT!B634="","",DATA_INPUT!B634)</f>
        <v/>
      </c>
      <c r="D1211" t="str">
        <f>IF(DATA_INPUT!C634="","",DATA_INPUT!C634)</f>
        <v/>
      </c>
      <c r="E1211" s="27" t="str">
        <f>IF(DATA_INPUT!D634="","",DATA_INPUT!D634)</f>
        <v/>
      </c>
      <c r="F1211" t="str">
        <f t="shared" si="28"/>
        <v/>
      </c>
      <c r="G1211" t="str">
        <f t="shared" si="29"/>
        <v/>
      </c>
    </row>
    <row r="1212" spans="1:7">
      <c r="A1212" s="10" t="str">
        <f>IF(DATA_INPUT!A635="","",DATA_INPUT!A635)</f>
        <v/>
      </c>
      <c r="B1212" t="str">
        <f t="shared" si="27"/>
        <v/>
      </c>
      <c r="C1212" t="str">
        <f>IF(DATA_INPUT!B635="","",DATA_INPUT!B635)</f>
        <v/>
      </c>
      <c r="D1212" t="str">
        <f>IF(DATA_INPUT!C635="","",DATA_INPUT!C635)</f>
        <v/>
      </c>
      <c r="E1212" s="27" t="str">
        <f>IF(DATA_INPUT!D635="","",DATA_INPUT!D635)</f>
        <v/>
      </c>
      <c r="F1212" t="str">
        <f t="shared" si="28"/>
        <v/>
      </c>
      <c r="G1212" t="str">
        <f t="shared" si="29"/>
        <v/>
      </c>
    </row>
    <row r="1213" spans="1:7">
      <c r="A1213" s="10" t="str">
        <f>IF(DATA_INPUT!A636="","",DATA_INPUT!A636)</f>
        <v/>
      </c>
      <c r="B1213" t="str">
        <f t="shared" si="27"/>
        <v/>
      </c>
      <c r="C1213" t="str">
        <f>IF(DATA_INPUT!B636="","",DATA_INPUT!B636)</f>
        <v/>
      </c>
      <c r="D1213" t="str">
        <f>IF(DATA_INPUT!C636="","",DATA_INPUT!C636)</f>
        <v/>
      </c>
      <c r="E1213" s="27" t="str">
        <f>IF(DATA_INPUT!D636="","",DATA_INPUT!D636)</f>
        <v/>
      </c>
      <c r="F1213" t="str">
        <f t="shared" si="28"/>
        <v/>
      </c>
      <c r="G1213" t="str">
        <f t="shared" si="29"/>
        <v/>
      </c>
    </row>
    <row r="1214" spans="1:7">
      <c r="A1214" s="10" t="str">
        <f>IF(DATA_INPUT!A637="","",DATA_INPUT!A637)</f>
        <v/>
      </c>
      <c r="B1214" t="str">
        <f t="shared" si="27"/>
        <v/>
      </c>
      <c r="C1214" t="str">
        <f>IF(DATA_INPUT!B637="","",DATA_INPUT!B637)</f>
        <v/>
      </c>
      <c r="D1214" t="str">
        <f>IF(DATA_INPUT!C637="","",DATA_INPUT!C637)</f>
        <v/>
      </c>
      <c r="E1214" s="27" t="str">
        <f>IF(DATA_INPUT!D637="","",DATA_INPUT!D637)</f>
        <v/>
      </c>
      <c r="F1214" t="str">
        <f t="shared" si="28"/>
        <v/>
      </c>
      <c r="G1214" t="str">
        <f t="shared" si="29"/>
        <v/>
      </c>
    </row>
    <row r="1215" spans="1:7">
      <c r="A1215" s="10" t="str">
        <f>IF(DATA_INPUT!A638="","",DATA_INPUT!A638)</f>
        <v/>
      </c>
      <c r="B1215" t="str">
        <f t="shared" si="27"/>
        <v/>
      </c>
      <c r="C1215" t="str">
        <f>IF(DATA_INPUT!B638="","",DATA_INPUT!B638)</f>
        <v/>
      </c>
      <c r="D1215" t="str">
        <f>IF(DATA_INPUT!C638="","",DATA_INPUT!C638)</f>
        <v/>
      </c>
      <c r="E1215" s="27" t="str">
        <f>IF(DATA_INPUT!D638="","",DATA_INPUT!D638)</f>
        <v/>
      </c>
      <c r="F1215" t="str">
        <f t="shared" si="28"/>
        <v/>
      </c>
      <c r="G1215" t="str">
        <f t="shared" si="29"/>
        <v/>
      </c>
    </row>
    <row r="1216" spans="1:7">
      <c r="A1216" s="10" t="str">
        <f>IF(DATA_INPUT!A639="","",DATA_INPUT!A639)</f>
        <v/>
      </c>
      <c r="B1216" t="str">
        <f t="shared" si="27"/>
        <v/>
      </c>
      <c r="C1216" t="str">
        <f>IF(DATA_INPUT!B639="","",DATA_INPUT!B639)</f>
        <v/>
      </c>
      <c r="D1216" t="str">
        <f>IF(DATA_INPUT!C639="","",DATA_INPUT!C639)</f>
        <v/>
      </c>
      <c r="E1216" s="27" t="str">
        <f>IF(DATA_INPUT!D639="","",DATA_INPUT!D639)</f>
        <v/>
      </c>
      <c r="F1216" t="str">
        <f t="shared" si="28"/>
        <v/>
      </c>
      <c r="G1216" t="str">
        <f t="shared" si="29"/>
        <v/>
      </c>
    </row>
    <row r="1217" spans="1:7">
      <c r="A1217" s="10" t="str">
        <f>IF(DATA_INPUT!A640="","",DATA_INPUT!A640)</f>
        <v/>
      </c>
      <c r="B1217" t="str">
        <f t="shared" si="27"/>
        <v/>
      </c>
      <c r="C1217" t="str">
        <f>IF(DATA_INPUT!B640="","",DATA_INPUT!B640)</f>
        <v/>
      </c>
      <c r="D1217" t="str">
        <f>IF(DATA_INPUT!C640="","",DATA_INPUT!C640)</f>
        <v/>
      </c>
      <c r="E1217" s="27" t="str">
        <f>IF(DATA_INPUT!D640="","",DATA_INPUT!D640)</f>
        <v/>
      </c>
      <c r="F1217" t="str">
        <f t="shared" si="28"/>
        <v/>
      </c>
      <c r="G1217" t="str">
        <f t="shared" si="29"/>
        <v/>
      </c>
    </row>
    <row r="1218" spans="1:7">
      <c r="A1218" s="10" t="str">
        <f>IF(DATA_INPUT!A641="","",DATA_INPUT!A641)</f>
        <v/>
      </c>
      <c r="B1218" t="str">
        <f t="shared" si="27"/>
        <v/>
      </c>
      <c r="C1218" t="str">
        <f>IF(DATA_INPUT!B641="","",DATA_INPUT!B641)</f>
        <v/>
      </c>
      <c r="D1218" t="str">
        <f>IF(DATA_INPUT!C641="","",DATA_INPUT!C641)</f>
        <v/>
      </c>
      <c r="E1218" s="27" t="str">
        <f>IF(DATA_INPUT!D641="","",DATA_INPUT!D641)</f>
        <v/>
      </c>
      <c r="F1218" t="str">
        <f t="shared" si="28"/>
        <v/>
      </c>
      <c r="G1218" t="str">
        <f t="shared" si="29"/>
        <v/>
      </c>
    </row>
    <row r="1219" spans="1:7">
      <c r="A1219" s="10" t="str">
        <f>IF(DATA_INPUT!A642="","",DATA_INPUT!A642)</f>
        <v/>
      </c>
      <c r="B1219" t="str">
        <f t="shared" si="27"/>
        <v/>
      </c>
      <c r="C1219" t="str">
        <f>IF(DATA_INPUT!B642="","",DATA_INPUT!B642)</f>
        <v/>
      </c>
      <c r="D1219" t="str">
        <f>IF(DATA_INPUT!C642="","",DATA_INPUT!C642)</f>
        <v/>
      </c>
      <c r="E1219" s="27" t="str">
        <f>IF(DATA_INPUT!D642="","",DATA_INPUT!D642)</f>
        <v/>
      </c>
      <c r="F1219" t="str">
        <f t="shared" si="28"/>
        <v/>
      </c>
      <c r="G1219" t="str">
        <f t="shared" si="29"/>
        <v/>
      </c>
    </row>
    <row r="1220" spans="1:7">
      <c r="A1220" s="10" t="str">
        <f>IF(DATA_INPUT!A643="","",DATA_INPUT!A643)</f>
        <v/>
      </c>
      <c r="B1220" t="str">
        <f t="shared" ref="B1220:B1283" si="30">IF(A1220="","",TEXT(A1220,"dddd"))</f>
        <v/>
      </c>
      <c r="C1220" t="str">
        <f>IF(DATA_INPUT!B643="","",DATA_INPUT!B643)</f>
        <v/>
      </c>
      <c r="D1220" t="str">
        <f>IF(DATA_INPUT!C643="","",DATA_INPUT!C643)</f>
        <v/>
      </c>
      <c r="E1220" s="27" t="str">
        <f>IF(DATA_INPUT!D643="","",DATA_INPUT!D643)</f>
        <v/>
      </c>
      <c r="F1220" t="str">
        <f t="shared" ref="F1220:F1283" si="31">IF(A1220="","",TEXT(A1220,"mmm yyyy"))</f>
        <v/>
      </c>
      <c r="G1220" t="str">
        <f t="shared" ref="G1220:G1283" si="32">IF(A1220="","",WEEKNUM(A1220))</f>
        <v/>
      </c>
    </row>
    <row r="1221" spans="1:7">
      <c r="A1221" s="10" t="str">
        <f>IF(DATA_INPUT!A644="","",DATA_INPUT!A644)</f>
        <v/>
      </c>
      <c r="B1221" t="str">
        <f t="shared" si="30"/>
        <v/>
      </c>
      <c r="C1221" t="str">
        <f>IF(DATA_INPUT!B644="","",DATA_INPUT!B644)</f>
        <v/>
      </c>
      <c r="D1221" t="str">
        <f>IF(DATA_INPUT!C644="","",DATA_INPUT!C644)</f>
        <v/>
      </c>
      <c r="E1221" s="27" t="str">
        <f>IF(DATA_INPUT!D644="","",DATA_INPUT!D644)</f>
        <v/>
      </c>
      <c r="F1221" t="str">
        <f t="shared" si="31"/>
        <v/>
      </c>
      <c r="G1221" t="str">
        <f t="shared" si="32"/>
        <v/>
      </c>
    </row>
    <row r="1222" spans="1:7">
      <c r="A1222" s="10" t="str">
        <f>IF(DATA_INPUT!A645="","",DATA_INPUT!A645)</f>
        <v/>
      </c>
      <c r="B1222" t="str">
        <f t="shared" si="30"/>
        <v/>
      </c>
      <c r="C1222" t="str">
        <f>IF(DATA_INPUT!B645="","",DATA_INPUT!B645)</f>
        <v/>
      </c>
      <c r="D1222" t="str">
        <f>IF(DATA_INPUT!C645="","",DATA_INPUT!C645)</f>
        <v/>
      </c>
      <c r="E1222" s="27" t="str">
        <f>IF(DATA_INPUT!D645="","",DATA_INPUT!D645)</f>
        <v/>
      </c>
      <c r="F1222" t="str">
        <f t="shared" si="31"/>
        <v/>
      </c>
      <c r="G1222" t="str">
        <f t="shared" si="32"/>
        <v/>
      </c>
    </row>
    <row r="1223" spans="1:7">
      <c r="A1223" s="10" t="str">
        <f>IF(DATA_INPUT!A646="","",DATA_INPUT!A646)</f>
        <v/>
      </c>
      <c r="B1223" t="str">
        <f t="shared" si="30"/>
        <v/>
      </c>
      <c r="C1223" t="str">
        <f>IF(DATA_INPUT!B646="","",DATA_INPUT!B646)</f>
        <v/>
      </c>
      <c r="D1223" t="str">
        <f>IF(DATA_INPUT!C646="","",DATA_INPUT!C646)</f>
        <v/>
      </c>
      <c r="E1223" s="27" t="str">
        <f>IF(DATA_INPUT!D646="","",DATA_INPUT!D646)</f>
        <v/>
      </c>
      <c r="F1223" t="str">
        <f t="shared" si="31"/>
        <v/>
      </c>
      <c r="G1223" t="str">
        <f t="shared" si="32"/>
        <v/>
      </c>
    </row>
    <row r="1224" spans="1:7">
      <c r="A1224" s="10" t="str">
        <f>IF(DATA_INPUT!A647="","",DATA_INPUT!A647)</f>
        <v/>
      </c>
      <c r="B1224" t="str">
        <f t="shared" si="30"/>
        <v/>
      </c>
      <c r="C1224" t="str">
        <f>IF(DATA_INPUT!B647="","",DATA_INPUT!B647)</f>
        <v/>
      </c>
      <c r="D1224" t="str">
        <f>IF(DATA_INPUT!C647="","",DATA_INPUT!C647)</f>
        <v/>
      </c>
      <c r="E1224" s="27" t="str">
        <f>IF(DATA_INPUT!D647="","",DATA_INPUT!D647)</f>
        <v/>
      </c>
      <c r="F1224" t="str">
        <f t="shared" si="31"/>
        <v/>
      </c>
      <c r="G1224" t="str">
        <f t="shared" si="32"/>
        <v/>
      </c>
    </row>
    <row r="1225" spans="1:7">
      <c r="A1225" s="10" t="str">
        <f>IF(DATA_INPUT!A648="","",DATA_INPUT!A648)</f>
        <v/>
      </c>
      <c r="B1225" t="str">
        <f t="shared" si="30"/>
        <v/>
      </c>
      <c r="C1225" t="str">
        <f>IF(DATA_INPUT!B648="","",DATA_INPUT!B648)</f>
        <v/>
      </c>
      <c r="D1225" t="str">
        <f>IF(DATA_INPUT!C648="","",DATA_INPUT!C648)</f>
        <v/>
      </c>
      <c r="E1225" s="27" t="str">
        <f>IF(DATA_INPUT!D648="","",DATA_INPUT!D648)</f>
        <v/>
      </c>
      <c r="F1225" t="str">
        <f t="shared" si="31"/>
        <v/>
      </c>
      <c r="G1225" t="str">
        <f t="shared" si="32"/>
        <v/>
      </c>
    </row>
    <row r="1226" spans="1:7">
      <c r="A1226" s="10" t="str">
        <f>IF(DATA_INPUT!A649="","",DATA_INPUT!A649)</f>
        <v/>
      </c>
      <c r="B1226" t="str">
        <f t="shared" si="30"/>
        <v/>
      </c>
      <c r="C1226" t="str">
        <f>IF(DATA_INPUT!B649="","",DATA_INPUT!B649)</f>
        <v/>
      </c>
      <c r="D1226" t="str">
        <f>IF(DATA_INPUT!C649="","",DATA_INPUT!C649)</f>
        <v/>
      </c>
      <c r="E1226" s="27" t="str">
        <f>IF(DATA_INPUT!D649="","",DATA_INPUT!D649)</f>
        <v/>
      </c>
      <c r="F1226" t="str">
        <f t="shared" si="31"/>
        <v/>
      </c>
      <c r="G1226" t="str">
        <f t="shared" si="32"/>
        <v/>
      </c>
    </row>
    <row r="1227" spans="1:7">
      <c r="A1227" s="10" t="str">
        <f>IF(DATA_INPUT!A650="","",DATA_INPUT!A650)</f>
        <v/>
      </c>
      <c r="B1227" t="str">
        <f t="shared" si="30"/>
        <v/>
      </c>
      <c r="C1227" t="str">
        <f>IF(DATA_INPUT!B650="","",DATA_INPUT!B650)</f>
        <v/>
      </c>
      <c r="D1227" t="str">
        <f>IF(DATA_INPUT!C650="","",DATA_INPUT!C650)</f>
        <v/>
      </c>
      <c r="E1227" s="27" t="str">
        <f>IF(DATA_INPUT!D650="","",DATA_INPUT!D650)</f>
        <v/>
      </c>
      <c r="F1227" t="str">
        <f t="shared" si="31"/>
        <v/>
      </c>
      <c r="G1227" t="str">
        <f t="shared" si="32"/>
        <v/>
      </c>
    </row>
    <row r="1228" spans="1:7">
      <c r="A1228" s="10" t="str">
        <f>IF(DATA_INPUT!A651="","",DATA_INPUT!A651)</f>
        <v/>
      </c>
      <c r="B1228" t="str">
        <f t="shared" si="30"/>
        <v/>
      </c>
      <c r="C1228" t="str">
        <f>IF(DATA_INPUT!B651="","",DATA_INPUT!B651)</f>
        <v/>
      </c>
      <c r="D1228" t="str">
        <f>IF(DATA_INPUT!C651="","",DATA_INPUT!C651)</f>
        <v/>
      </c>
      <c r="E1228" s="27" t="str">
        <f>IF(DATA_INPUT!D651="","",DATA_INPUT!D651)</f>
        <v/>
      </c>
      <c r="F1228" t="str">
        <f t="shared" si="31"/>
        <v/>
      </c>
      <c r="G1228" t="str">
        <f t="shared" si="32"/>
        <v/>
      </c>
    </row>
    <row r="1229" spans="1:7">
      <c r="A1229" s="10" t="str">
        <f>IF(DATA_INPUT!A652="","",DATA_INPUT!A652)</f>
        <v/>
      </c>
      <c r="B1229" t="str">
        <f t="shared" si="30"/>
        <v/>
      </c>
      <c r="C1229" t="str">
        <f>IF(DATA_INPUT!B652="","",DATA_INPUT!B652)</f>
        <v/>
      </c>
      <c r="D1229" t="str">
        <f>IF(DATA_INPUT!C652="","",DATA_INPUT!C652)</f>
        <v/>
      </c>
      <c r="E1229" s="27" t="str">
        <f>IF(DATA_INPUT!D652="","",DATA_INPUT!D652)</f>
        <v/>
      </c>
      <c r="F1229" t="str">
        <f t="shared" si="31"/>
        <v/>
      </c>
      <c r="G1229" t="str">
        <f t="shared" si="32"/>
        <v/>
      </c>
    </row>
    <row r="1230" spans="1:7">
      <c r="A1230" s="10" t="str">
        <f>IF(DATA_INPUT!A653="","",DATA_INPUT!A653)</f>
        <v/>
      </c>
      <c r="B1230" t="str">
        <f t="shared" si="30"/>
        <v/>
      </c>
      <c r="C1230" t="str">
        <f>IF(DATA_INPUT!B653="","",DATA_INPUT!B653)</f>
        <v/>
      </c>
      <c r="D1230" t="str">
        <f>IF(DATA_INPUT!C653="","",DATA_INPUT!C653)</f>
        <v/>
      </c>
      <c r="E1230" s="27" t="str">
        <f>IF(DATA_INPUT!D653="","",DATA_INPUT!D653)</f>
        <v/>
      </c>
      <c r="F1230" t="str">
        <f t="shared" si="31"/>
        <v/>
      </c>
      <c r="G1230" t="str">
        <f t="shared" si="32"/>
        <v/>
      </c>
    </row>
    <row r="1231" spans="1:7">
      <c r="A1231" s="10" t="str">
        <f>IF(DATA_INPUT!A654="","",DATA_INPUT!A654)</f>
        <v/>
      </c>
      <c r="B1231" t="str">
        <f t="shared" si="30"/>
        <v/>
      </c>
      <c r="C1231" t="str">
        <f>IF(DATA_INPUT!B654="","",DATA_INPUT!B654)</f>
        <v/>
      </c>
      <c r="D1231" t="str">
        <f>IF(DATA_INPUT!C654="","",DATA_INPUT!C654)</f>
        <v/>
      </c>
      <c r="E1231" s="27" t="str">
        <f>IF(DATA_INPUT!D654="","",DATA_INPUT!D654)</f>
        <v/>
      </c>
      <c r="F1231" t="str">
        <f t="shared" si="31"/>
        <v/>
      </c>
      <c r="G1231" t="str">
        <f t="shared" si="32"/>
        <v/>
      </c>
    </row>
    <row r="1232" spans="1:7">
      <c r="A1232" s="10" t="str">
        <f>IF(DATA_INPUT!A655="","",DATA_INPUT!A655)</f>
        <v/>
      </c>
      <c r="B1232" t="str">
        <f t="shared" si="30"/>
        <v/>
      </c>
      <c r="C1232" t="str">
        <f>IF(DATA_INPUT!B655="","",DATA_INPUT!B655)</f>
        <v/>
      </c>
      <c r="D1232" t="str">
        <f>IF(DATA_INPUT!C655="","",DATA_INPUT!C655)</f>
        <v/>
      </c>
      <c r="E1232" s="27" t="str">
        <f>IF(DATA_INPUT!D655="","",DATA_INPUT!D655)</f>
        <v/>
      </c>
      <c r="F1232" t="str">
        <f t="shared" si="31"/>
        <v/>
      </c>
      <c r="G1232" t="str">
        <f t="shared" si="32"/>
        <v/>
      </c>
    </row>
    <row r="1233" spans="1:7">
      <c r="A1233" s="10" t="str">
        <f>IF(DATA_INPUT!A656="","",DATA_INPUT!A656)</f>
        <v/>
      </c>
      <c r="B1233" t="str">
        <f t="shared" si="30"/>
        <v/>
      </c>
      <c r="C1233" t="str">
        <f>IF(DATA_INPUT!B656="","",DATA_INPUT!B656)</f>
        <v/>
      </c>
      <c r="D1233" t="str">
        <f>IF(DATA_INPUT!C656="","",DATA_INPUT!C656)</f>
        <v/>
      </c>
      <c r="E1233" s="27" t="str">
        <f>IF(DATA_INPUT!D656="","",DATA_INPUT!D656)</f>
        <v/>
      </c>
      <c r="F1233" t="str">
        <f t="shared" si="31"/>
        <v/>
      </c>
      <c r="G1233" t="str">
        <f t="shared" si="32"/>
        <v/>
      </c>
    </row>
    <row r="1234" spans="1:7">
      <c r="A1234" s="10" t="str">
        <f>IF(DATA_INPUT!A657="","",DATA_INPUT!A657)</f>
        <v/>
      </c>
      <c r="B1234" t="str">
        <f t="shared" si="30"/>
        <v/>
      </c>
      <c r="C1234" t="str">
        <f>IF(DATA_INPUT!B657="","",DATA_INPUT!B657)</f>
        <v/>
      </c>
      <c r="D1234" t="str">
        <f>IF(DATA_INPUT!C657="","",DATA_INPUT!C657)</f>
        <v/>
      </c>
      <c r="E1234" s="27" t="str">
        <f>IF(DATA_INPUT!D657="","",DATA_INPUT!D657)</f>
        <v/>
      </c>
      <c r="F1234" t="str">
        <f t="shared" si="31"/>
        <v/>
      </c>
      <c r="G1234" t="str">
        <f t="shared" si="32"/>
        <v/>
      </c>
    </row>
    <row r="1235" spans="1:7">
      <c r="A1235" s="10" t="str">
        <f>IF(DATA_INPUT!A658="","",DATA_INPUT!A658)</f>
        <v/>
      </c>
      <c r="B1235" t="str">
        <f t="shared" si="30"/>
        <v/>
      </c>
      <c r="C1235" t="str">
        <f>IF(DATA_INPUT!B658="","",DATA_INPUT!B658)</f>
        <v/>
      </c>
      <c r="D1235" t="str">
        <f>IF(DATA_INPUT!C658="","",DATA_INPUT!C658)</f>
        <v/>
      </c>
      <c r="E1235" s="27" t="str">
        <f>IF(DATA_INPUT!D658="","",DATA_INPUT!D658)</f>
        <v/>
      </c>
      <c r="F1235" t="str">
        <f t="shared" si="31"/>
        <v/>
      </c>
      <c r="G1235" t="str">
        <f t="shared" si="32"/>
        <v/>
      </c>
    </row>
    <row r="1236" spans="1:7">
      <c r="A1236" s="10" t="str">
        <f>IF(DATA_INPUT!A659="","",DATA_INPUT!A659)</f>
        <v/>
      </c>
      <c r="B1236" t="str">
        <f t="shared" si="30"/>
        <v/>
      </c>
      <c r="C1236" t="str">
        <f>IF(DATA_INPUT!B659="","",DATA_INPUT!B659)</f>
        <v/>
      </c>
      <c r="D1236" t="str">
        <f>IF(DATA_INPUT!C659="","",DATA_INPUT!C659)</f>
        <v/>
      </c>
      <c r="E1236" s="27" t="str">
        <f>IF(DATA_INPUT!D659="","",DATA_INPUT!D659)</f>
        <v/>
      </c>
      <c r="F1236" t="str">
        <f t="shared" si="31"/>
        <v/>
      </c>
      <c r="G1236" t="str">
        <f t="shared" si="32"/>
        <v/>
      </c>
    </row>
    <row r="1237" spans="1:7">
      <c r="A1237" s="10" t="str">
        <f>IF(DATA_INPUT!A660="","",DATA_INPUT!A660)</f>
        <v/>
      </c>
      <c r="B1237" t="str">
        <f t="shared" si="30"/>
        <v/>
      </c>
      <c r="C1237" t="str">
        <f>IF(DATA_INPUT!B660="","",DATA_INPUT!B660)</f>
        <v/>
      </c>
      <c r="D1237" t="str">
        <f>IF(DATA_INPUT!C660="","",DATA_INPUT!C660)</f>
        <v/>
      </c>
      <c r="E1237" s="27" t="str">
        <f>IF(DATA_INPUT!D660="","",DATA_INPUT!D660)</f>
        <v/>
      </c>
      <c r="F1237" t="str">
        <f t="shared" si="31"/>
        <v/>
      </c>
      <c r="G1237" t="str">
        <f t="shared" si="32"/>
        <v/>
      </c>
    </row>
    <row r="1238" spans="1:7">
      <c r="A1238" s="10" t="str">
        <f>IF(DATA_INPUT!A661="","",DATA_INPUT!A661)</f>
        <v/>
      </c>
      <c r="B1238" t="str">
        <f t="shared" si="30"/>
        <v/>
      </c>
      <c r="C1238" t="str">
        <f>IF(DATA_INPUT!B661="","",DATA_INPUT!B661)</f>
        <v/>
      </c>
      <c r="D1238" t="str">
        <f>IF(DATA_INPUT!C661="","",DATA_INPUT!C661)</f>
        <v/>
      </c>
      <c r="E1238" s="27" t="str">
        <f>IF(DATA_INPUT!D661="","",DATA_INPUT!D661)</f>
        <v/>
      </c>
      <c r="F1238" t="str">
        <f t="shared" si="31"/>
        <v/>
      </c>
      <c r="G1238" t="str">
        <f t="shared" si="32"/>
        <v/>
      </c>
    </row>
    <row r="1239" spans="1:7">
      <c r="A1239" s="10" t="str">
        <f>IF(DATA_INPUT!A662="","",DATA_INPUT!A662)</f>
        <v/>
      </c>
      <c r="B1239" t="str">
        <f t="shared" si="30"/>
        <v/>
      </c>
      <c r="C1239" t="str">
        <f>IF(DATA_INPUT!B662="","",DATA_INPUT!B662)</f>
        <v/>
      </c>
      <c r="D1239" t="str">
        <f>IF(DATA_INPUT!C662="","",DATA_INPUT!C662)</f>
        <v/>
      </c>
      <c r="E1239" s="27" t="str">
        <f>IF(DATA_INPUT!D662="","",DATA_INPUT!D662)</f>
        <v/>
      </c>
      <c r="F1239" t="str">
        <f t="shared" si="31"/>
        <v/>
      </c>
      <c r="G1239" t="str">
        <f t="shared" si="32"/>
        <v/>
      </c>
    </row>
    <row r="1240" spans="1:7">
      <c r="A1240" s="10" t="str">
        <f>IF(DATA_INPUT!A663="","",DATA_INPUT!A663)</f>
        <v/>
      </c>
      <c r="B1240" t="str">
        <f t="shared" si="30"/>
        <v/>
      </c>
      <c r="C1240" t="str">
        <f>IF(DATA_INPUT!B663="","",DATA_INPUT!B663)</f>
        <v/>
      </c>
      <c r="D1240" t="str">
        <f>IF(DATA_INPUT!C663="","",DATA_INPUT!C663)</f>
        <v/>
      </c>
      <c r="E1240" s="27" t="str">
        <f>IF(DATA_INPUT!D663="","",DATA_INPUT!D663)</f>
        <v/>
      </c>
      <c r="F1240" t="str">
        <f t="shared" si="31"/>
        <v/>
      </c>
      <c r="G1240" t="str">
        <f t="shared" si="32"/>
        <v/>
      </c>
    </row>
    <row r="1241" spans="1:7">
      <c r="A1241" s="10" t="str">
        <f>IF(DATA_INPUT!A664="","",DATA_INPUT!A664)</f>
        <v/>
      </c>
      <c r="B1241" t="str">
        <f t="shared" si="30"/>
        <v/>
      </c>
      <c r="C1241" t="str">
        <f>IF(DATA_INPUT!B664="","",DATA_INPUT!B664)</f>
        <v/>
      </c>
      <c r="D1241" t="str">
        <f>IF(DATA_INPUT!C664="","",DATA_INPUT!C664)</f>
        <v/>
      </c>
      <c r="E1241" s="27" t="str">
        <f>IF(DATA_INPUT!D664="","",DATA_INPUT!D664)</f>
        <v/>
      </c>
      <c r="F1241" t="str">
        <f t="shared" si="31"/>
        <v/>
      </c>
      <c r="G1241" t="str">
        <f t="shared" si="32"/>
        <v/>
      </c>
    </row>
    <row r="1242" spans="1:7">
      <c r="A1242" s="10" t="str">
        <f>IF(DATA_INPUT!A665="","",DATA_INPUT!A665)</f>
        <v/>
      </c>
      <c r="B1242" t="str">
        <f t="shared" si="30"/>
        <v/>
      </c>
      <c r="C1242" t="str">
        <f>IF(DATA_INPUT!B665="","",DATA_INPUT!B665)</f>
        <v/>
      </c>
      <c r="D1242" t="str">
        <f>IF(DATA_INPUT!C665="","",DATA_INPUT!C665)</f>
        <v/>
      </c>
      <c r="E1242" s="27" t="str">
        <f>IF(DATA_INPUT!D665="","",DATA_INPUT!D665)</f>
        <v/>
      </c>
      <c r="F1242" t="str">
        <f t="shared" si="31"/>
        <v/>
      </c>
      <c r="G1242" t="str">
        <f t="shared" si="32"/>
        <v/>
      </c>
    </row>
    <row r="1243" spans="1:7">
      <c r="A1243" s="10" t="str">
        <f>IF(DATA_INPUT!A666="","",DATA_INPUT!A666)</f>
        <v/>
      </c>
      <c r="B1243" t="str">
        <f t="shared" si="30"/>
        <v/>
      </c>
      <c r="C1243" t="str">
        <f>IF(DATA_INPUT!B666="","",DATA_INPUT!B666)</f>
        <v/>
      </c>
      <c r="D1243" t="str">
        <f>IF(DATA_INPUT!C666="","",DATA_INPUT!C666)</f>
        <v/>
      </c>
      <c r="E1243" s="27" t="str">
        <f>IF(DATA_INPUT!D666="","",DATA_INPUT!D666)</f>
        <v/>
      </c>
      <c r="F1243" t="str">
        <f t="shared" si="31"/>
        <v/>
      </c>
      <c r="G1243" t="str">
        <f t="shared" si="32"/>
        <v/>
      </c>
    </row>
    <row r="1244" spans="1:7">
      <c r="A1244" s="10" t="str">
        <f>IF(DATA_INPUT!A667="","",DATA_INPUT!A667)</f>
        <v/>
      </c>
      <c r="B1244" t="str">
        <f t="shared" si="30"/>
        <v/>
      </c>
      <c r="C1244" t="str">
        <f>IF(DATA_INPUT!B667="","",DATA_INPUT!B667)</f>
        <v/>
      </c>
      <c r="D1244" t="str">
        <f>IF(DATA_INPUT!C667="","",DATA_INPUT!C667)</f>
        <v/>
      </c>
      <c r="E1244" s="27" t="str">
        <f>IF(DATA_INPUT!D667="","",DATA_INPUT!D667)</f>
        <v/>
      </c>
      <c r="F1244" t="str">
        <f t="shared" si="31"/>
        <v/>
      </c>
      <c r="G1244" t="str">
        <f t="shared" si="32"/>
        <v/>
      </c>
    </row>
    <row r="1245" spans="1:7">
      <c r="A1245" s="10" t="str">
        <f>IF(DATA_INPUT!A668="","",DATA_INPUT!A668)</f>
        <v/>
      </c>
      <c r="B1245" t="str">
        <f t="shared" si="30"/>
        <v/>
      </c>
      <c r="C1245" t="str">
        <f>IF(DATA_INPUT!B668="","",DATA_INPUT!B668)</f>
        <v/>
      </c>
      <c r="D1245" t="str">
        <f>IF(DATA_INPUT!C668="","",DATA_INPUT!C668)</f>
        <v/>
      </c>
      <c r="E1245" s="27" t="str">
        <f>IF(DATA_INPUT!D668="","",DATA_INPUT!D668)</f>
        <v/>
      </c>
      <c r="F1245" t="str">
        <f t="shared" si="31"/>
        <v/>
      </c>
      <c r="G1245" t="str">
        <f t="shared" si="32"/>
        <v/>
      </c>
    </row>
    <row r="1246" spans="1:7">
      <c r="A1246" s="10" t="str">
        <f>IF(DATA_INPUT!A669="","",DATA_INPUT!A669)</f>
        <v/>
      </c>
      <c r="B1246" t="str">
        <f t="shared" si="30"/>
        <v/>
      </c>
      <c r="C1246" t="str">
        <f>IF(DATA_INPUT!B669="","",DATA_INPUT!B669)</f>
        <v/>
      </c>
      <c r="D1246" t="str">
        <f>IF(DATA_INPUT!C669="","",DATA_INPUT!C669)</f>
        <v/>
      </c>
      <c r="E1246" s="27" t="str">
        <f>IF(DATA_INPUT!D669="","",DATA_INPUT!D669)</f>
        <v/>
      </c>
      <c r="F1246" t="str">
        <f t="shared" si="31"/>
        <v/>
      </c>
      <c r="G1246" t="str">
        <f t="shared" si="32"/>
        <v/>
      </c>
    </row>
    <row r="1247" spans="1:7">
      <c r="A1247" s="10" t="str">
        <f>IF(DATA_INPUT!A670="","",DATA_INPUT!A670)</f>
        <v/>
      </c>
      <c r="B1247" t="str">
        <f t="shared" si="30"/>
        <v/>
      </c>
      <c r="C1247" t="str">
        <f>IF(DATA_INPUT!B670="","",DATA_INPUT!B670)</f>
        <v/>
      </c>
      <c r="D1247" t="str">
        <f>IF(DATA_INPUT!C670="","",DATA_INPUT!C670)</f>
        <v/>
      </c>
      <c r="E1247" s="27" t="str">
        <f>IF(DATA_INPUT!D670="","",DATA_INPUT!D670)</f>
        <v/>
      </c>
      <c r="F1247" t="str">
        <f t="shared" si="31"/>
        <v/>
      </c>
      <c r="G1247" t="str">
        <f t="shared" si="32"/>
        <v/>
      </c>
    </row>
    <row r="1248" spans="1:7">
      <c r="A1248" s="10" t="str">
        <f>IF(DATA_INPUT!A671="","",DATA_INPUT!A671)</f>
        <v/>
      </c>
      <c r="B1248" t="str">
        <f t="shared" si="30"/>
        <v/>
      </c>
      <c r="C1248" t="str">
        <f>IF(DATA_INPUT!B671="","",DATA_INPUT!B671)</f>
        <v/>
      </c>
      <c r="D1248" t="str">
        <f>IF(DATA_INPUT!C671="","",DATA_INPUT!C671)</f>
        <v/>
      </c>
      <c r="E1248" s="27" t="str">
        <f>IF(DATA_INPUT!D671="","",DATA_INPUT!D671)</f>
        <v/>
      </c>
      <c r="F1248" t="str">
        <f t="shared" si="31"/>
        <v/>
      </c>
      <c r="G1248" t="str">
        <f t="shared" si="32"/>
        <v/>
      </c>
    </row>
    <row r="1249" spans="1:7">
      <c r="A1249" s="10" t="str">
        <f>IF(DATA_INPUT!A672="","",DATA_INPUT!A672)</f>
        <v/>
      </c>
      <c r="B1249" t="str">
        <f t="shared" si="30"/>
        <v/>
      </c>
      <c r="C1249" t="str">
        <f>IF(DATA_INPUT!B672="","",DATA_INPUT!B672)</f>
        <v/>
      </c>
      <c r="D1249" t="str">
        <f>IF(DATA_INPUT!C672="","",DATA_INPUT!C672)</f>
        <v/>
      </c>
      <c r="E1249" s="27" t="str">
        <f>IF(DATA_INPUT!D672="","",DATA_INPUT!D672)</f>
        <v/>
      </c>
      <c r="F1249" t="str">
        <f t="shared" si="31"/>
        <v/>
      </c>
      <c r="G1249" t="str">
        <f t="shared" si="32"/>
        <v/>
      </c>
    </row>
    <row r="1250" spans="1:7">
      <c r="A1250" s="10" t="str">
        <f>IF(DATA_INPUT!A673="","",DATA_INPUT!A673)</f>
        <v/>
      </c>
      <c r="B1250" t="str">
        <f t="shared" si="30"/>
        <v/>
      </c>
      <c r="C1250" t="str">
        <f>IF(DATA_INPUT!B673="","",DATA_INPUT!B673)</f>
        <v/>
      </c>
      <c r="D1250" t="str">
        <f>IF(DATA_INPUT!C673="","",DATA_INPUT!C673)</f>
        <v/>
      </c>
      <c r="E1250" s="27" t="str">
        <f>IF(DATA_INPUT!D673="","",DATA_INPUT!D673)</f>
        <v/>
      </c>
      <c r="F1250" t="str">
        <f t="shared" si="31"/>
        <v/>
      </c>
      <c r="G1250" t="str">
        <f t="shared" si="32"/>
        <v/>
      </c>
    </row>
    <row r="1251" spans="1:7">
      <c r="A1251" s="10" t="str">
        <f>IF(DATA_INPUT!A674="","",DATA_INPUT!A674)</f>
        <v/>
      </c>
      <c r="B1251" t="str">
        <f t="shared" si="30"/>
        <v/>
      </c>
      <c r="C1251" t="str">
        <f>IF(DATA_INPUT!B674="","",DATA_INPUT!B674)</f>
        <v/>
      </c>
      <c r="D1251" t="str">
        <f>IF(DATA_INPUT!C674="","",DATA_INPUT!C674)</f>
        <v/>
      </c>
      <c r="E1251" s="27" t="str">
        <f>IF(DATA_INPUT!D674="","",DATA_INPUT!D674)</f>
        <v/>
      </c>
      <c r="F1251" t="str">
        <f t="shared" si="31"/>
        <v/>
      </c>
      <c r="G1251" t="str">
        <f t="shared" si="32"/>
        <v/>
      </c>
    </row>
    <row r="1252" spans="1:7">
      <c r="A1252" s="10" t="str">
        <f>IF(DATA_INPUT!A675="","",DATA_INPUT!A675)</f>
        <v/>
      </c>
      <c r="B1252" t="str">
        <f t="shared" si="30"/>
        <v/>
      </c>
      <c r="C1252" t="str">
        <f>IF(DATA_INPUT!B675="","",DATA_INPUT!B675)</f>
        <v/>
      </c>
      <c r="D1252" t="str">
        <f>IF(DATA_INPUT!C675="","",DATA_INPUT!C675)</f>
        <v/>
      </c>
      <c r="E1252" s="27" t="str">
        <f>IF(DATA_INPUT!D675="","",DATA_INPUT!D675)</f>
        <v/>
      </c>
      <c r="F1252" t="str">
        <f t="shared" si="31"/>
        <v/>
      </c>
      <c r="G1252" t="str">
        <f t="shared" si="32"/>
        <v/>
      </c>
    </row>
    <row r="1253" spans="1:7">
      <c r="A1253" s="10" t="str">
        <f>IF(DATA_INPUT!A676="","",DATA_INPUT!A676)</f>
        <v/>
      </c>
      <c r="B1253" t="str">
        <f t="shared" si="30"/>
        <v/>
      </c>
      <c r="C1253" t="str">
        <f>IF(DATA_INPUT!B676="","",DATA_INPUT!B676)</f>
        <v/>
      </c>
      <c r="D1253" t="str">
        <f>IF(DATA_INPUT!C676="","",DATA_INPUT!C676)</f>
        <v/>
      </c>
      <c r="E1253" s="27" t="str">
        <f>IF(DATA_INPUT!D676="","",DATA_INPUT!D676)</f>
        <v/>
      </c>
      <c r="F1253" t="str">
        <f t="shared" si="31"/>
        <v/>
      </c>
      <c r="G1253" t="str">
        <f t="shared" si="32"/>
        <v/>
      </c>
    </row>
    <row r="1254" spans="1:7">
      <c r="A1254" s="10" t="str">
        <f>IF(DATA_INPUT!A677="","",DATA_INPUT!A677)</f>
        <v/>
      </c>
      <c r="B1254" t="str">
        <f t="shared" si="30"/>
        <v/>
      </c>
      <c r="C1254" t="str">
        <f>IF(DATA_INPUT!B677="","",DATA_INPUT!B677)</f>
        <v/>
      </c>
      <c r="D1254" t="str">
        <f>IF(DATA_INPUT!C677="","",DATA_INPUT!C677)</f>
        <v/>
      </c>
      <c r="E1254" s="27" t="str">
        <f>IF(DATA_INPUT!D677="","",DATA_INPUT!D677)</f>
        <v/>
      </c>
      <c r="F1254" t="str">
        <f t="shared" si="31"/>
        <v/>
      </c>
      <c r="G1254" t="str">
        <f t="shared" si="32"/>
        <v/>
      </c>
    </row>
    <row r="1255" spans="1:7">
      <c r="A1255" s="10" t="str">
        <f>IF(DATA_INPUT!A678="","",DATA_INPUT!A678)</f>
        <v/>
      </c>
      <c r="B1255" t="str">
        <f t="shared" si="30"/>
        <v/>
      </c>
      <c r="C1255" t="str">
        <f>IF(DATA_INPUT!B678="","",DATA_INPUT!B678)</f>
        <v/>
      </c>
      <c r="D1255" t="str">
        <f>IF(DATA_INPUT!C678="","",DATA_INPUT!C678)</f>
        <v/>
      </c>
      <c r="E1255" s="27" t="str">
        <f>IF(DATA_INPUT!D678="","",DATA_INPUT!D678)</f>
        <v/>
      </c>
      <c r="F1255" t="str">
        <f t="shared" si="31"/>
        <v/>
      </c>
      <c r="G1255" t="str">
        <f t="shared" si="32"/>
        <v/>
      </c>
    </row>
    <row r="1256" spans="1:7">
      <c r="A1256" s="10" t="str">
        <f>IF(DATA_INPUT!A679="","",DATA_INPUT!A679)</f>
        <v/>
      </c>
      <c r="B1256" t="str">
        <f t="shared" si="30"/>
        <v/>
      </c>
      <c r="C1256" t="str">
        <f>IF(DATA_INPUT!B679="","",DATA_INPUT!B679)</f>
        <v/>
      </c>
      <c r="D1256" t="str">
        <f>IF(DATA_INPUT!C679="","",DATA_INPUT!C679)</f>
        <v/>
      </c>
      <c r="E1256" s="27" t="str">
        <f>IF(DATA_INPUT!D679="","",DATA_INPUT!D679)</f>
        <v/>
      </c>
      <c r="F1256" t="str">
        <f t="shared" si="31"/>
        <v/>
      </c>
      <c r="G1256" t="str">
        <f t="shared" si="32"/>
        <v/>
      </c>
    </row>
    <row r="1257" spans="1:7">
      <c r="A1257" s="10" t="str">
        <f>IF(DATA_INPUT!A680="","",DATA_INPUT!A680)</f>
        <v/>
      </c>
      <c r="B1257" t="str">
        <f t="shared" si="30"/>
        <v/>
      </c>
      <c r="C1257" t="str">
        <f>IF(DATA_INPUT!B680="","",DATA_INPUT!B680)</f>
        <v/>
      </c>
      <c r="D1257" t="str">
        <f>IF(DATA_INPUT!C680="","",DATA_INPUT!C680)</f>
        <v/>
      </c>
      <c r="E1257" s="27" t="str">
        <f>IF(DATA_INPUT!D680="","",DATA_INPUT!D680)</f>
        <v/>
      </c>
      <c r="F1257" t="str">
        <f t="shared" si="31"/>
        <v/>
      </c>
      <c r="G1257" t="str">
        <f t="shared" si="32"/>
        <v/>
      </c>
    </row>
    <row r="1258" spans="1:7">
      <c r="A1258" s="10" t="str">
        <f>IF(DATA_INPUT!A681="","",DATA_INPUT!A681)</f>
        <v/>
      </c>
      <c r="B1258" t="str">
        <f t="shared" si="30"/>
        <v/>
      </c>
      <c r="C1258" t="str">
        <f>IF(DATA_INPUT!B681="","",DATA_INPUT!B681)</f>
        <v/>
      </c>
      <c r="D1258" t="str">
        <f>IF(DATA_INPUT!C681="","",DATA_INPUT!C681)</f>
        <v/>
      </c>
      <c r="E1258" s="27" t="str">
        <f>IF(DATA_INPUT!D681="","",DATA_INPUT!D681)</f>
        <v/>
      </c>
      <c r="F1258" t="str">
        <f t="shared" si="31"/>
        <v/>
      </c>
      <c r="G1258" t="str">
        <f t="shared" si="32"/>
        <v/>
      </c>
    </row>
    <row r="1259" spans="1:7">
      <c r="A1259" s="10" t="str">
        <f>IF(DATA_INPUT!A682="","",DATA_INPUT!A682)</f>
        <v/>
      </c>
      <c r="B1259" t="str">
        <f t="shared" si="30"/>
        <v/>
      </c>
      <c r="C1259" t="str">
        <f>IF(DATA_INPUT!B682="","",DATA_INPUT!B682)</f>
        <v/>
      </c>
      <c r="D1259" t="str">
        <f>IF(DATA_INPUT!C682="","",DATA_INPUT!C682)</f>
        <v/>
      </c>
      <c r="E1259" s="27" t="str">
        <f>IF(DATA_INPUT!D682="","",DATA_INPUT!D682)</f>
        <v/>
      </c>
      <c r="F1259" t="str">
        <f t="shared" si="31"/>
        <v/>
      </c>
      <c r="G1259" t="str">
        <f t="shared" si="32"/>
        <v/>
      </c>
    </row>
    <row r="1260" spans="1:7">
      <c r="A1260" s="10" t="str">
        <f>IF(DATA_INPUT!A683="","",DATA_INPUT!A683)</f>
        <v/>
      </c>
      <c r="B1260" t="str">
        <f t="shared" si="30"/>
        <v/>
      </c>
      <c r="C1260" t="str">
        <f>IF(DATA_INPUT!B683="","",DATA_INPUT!B683)</f>
        <v/>
      </c>
      <c r="D1260" t="str">
        <f>IF(DATA_INPUT!C683="","",DATA_INPUT!C683)</f>
        <v/>
      </c>
      <c r="E1260" s="27" t="str">
        <f>IF(DATA_INPUT!D683="","",DATA_INPUT!D683)</f>
        <v/>
      </c>
      <c r="F1260" t="str">
        <f t="shared" si="31"/>
        <v/>
      </c>
      <c r="G1260" t="str">
        <f t="shared" si="32"/>
        <v/>
      </c>
    </row>
    <row r="1261" spans="1:7">
      <c r="A1261" s="10" t="str">
        <f>IF(DATA_INPUT!A684="","",DATA_INPUT!A684)</f>
        <v/>
      </c>
      <c r="B1261" t="str">
        <f t="shared" si="30"/>
        <v/>
      </c>
      <c r="C1261" t="str">
        <f>IF(DATA_INPUT!B684="","",DATA_INPUT!B684)</f>
        <v/>
      </c>
      <c r="D1261" t="str">
        <f>IF(DATA_INPUT!C684="","",DATA_INPUT!C684)</f>
        <v/>
      </c>
      <c r="E1261" s="27" t="str">
        <f>IF(DATA_INPUT!D684="","",DATA_INPUT!D684)</f>
        <v/>
      </c>
      <c r="F1261" t="str">
        <f t="shared" si="31"/>
        <v/>
      </c>
      <c r="G1261" t="str">
        <f t="shared" si="32"/>
        <v/>
      </c>
    </row>
    <row r="1262" spans="1:7">
      <c r="A1262" s="10" t="str">
        <f>IF(DATA_INPUT!A685="","",DATA_INPUT!A685)</f>
        <v/>
      </c>
      <c r="B1262" t="str">
        <f t="shared" si="30"/>
        <v/>
      </c>
      <c r="C1262" t="str">
        <f>IF(DATA_INPUT!B685="","",DATA_INPUT!B685)</f>
        <v/>
      </c>
      <c r="D1262" t="str">
        <f>IF(DATA_INPUT!C685="","",DATA_INPUT!C685)</f>
        <v/>
      </c>
      <c r="E1262" s="27" t="str">
        <f>IF(DATA_INPUT!D685="","",DATA_INPUT!D685)</f>
        <v/>
      </c>
      <c r="F1262" t="str">
        <f t="shared" si="31"/>
        <v/>
      </c>
      <c r="G1262" t="str">
        <f t="shared" si="32"/>
        <v/>
      </c>
    </row>
    <row r="1263" spans="1:7">
      <c r="A1263" s="10" t="str">
        <f>IF(DATA_INPUT!A686="","",DATA_INPUT!A686)</f>
        <v/>
      </c>
      <c r="B1263" t="str">
        <f t="shared" si="30"/>
        <v/>
      </c>
      <c r="C1263" t="str">
        <f>IF(DATA_INPUT!B686="","",DATA_INPUT!B686)</f>
        <v/>
      </c>
      <c r="D1263" t="str">
        <f>IF(DATA_INPUT!C686="","",DATA_INPUT!C686)</f>
        <v/>
      </c>
      <c r="E1263" s="27" t="str">
        <f>IF(DATA_INPUT!D686="","",DATA_INPUT!D686)</f>
        <v/>
      </c>
      <c r="F1263" t="str">
        <f t="shared" si="31"/>
        <v/>
      </c>
      <c r="G1263" t="str">
        <f t="shared" si="32"/>
        <v/>
      </c>
    </row>
    <row r="1264" spans="1:7">
      <c r="A1264" s="10" t="str">
        <f>IF(DATA_INPUT!A687="","",DATA_INPUT!A687)</f>
        <v/>
      </c>
      <c r="B1264" t="str">
        <f t="shared" si="30"/>
        <v/>
      </c>
      <c r="C1264" t="str">
        <f>IF(DATA_INPUT!B687="","",DATA_INPUT!B687)</f>
        <v/>
      </c>
      <c r="D1264" t="str">
        <f>IF(DATA_INPUT!C687="","",DATA_INPUT!C687)</f>
        <v/>
      </c>
      <c r="E1264" s="27" t="str">
        <f>IF(DATA_INPUT!D687="","",DATA_INPUT!D687)</f>
        <v/>
      </c>
      <c r="F1264" t="str">
        <f t="shared" si="31"/>
        <v/>
      </c>
      <c r="G1264" t="str">
        <f t="shared" si="32"/>
        <v/>
      </c>
    </row>
    <row r="1265" spans="1:7">
      <c r="A1265" s="10" t="str">
        <f>IF(DATA_INPUT!A688="","",DATA_INPUT!A688)</f>
        <v/>
      </c>
      <c r="B1265" t="str">
        <f t="shared" si="30"/>
        <v/>
      </c>
      <c r="C1265" t="str">
        <f>IF(DATA_INPUT!B688="","",DATA_INPUT!B688)</f>
        <v/>
      </c>
      <c r="D1265" t="str">
        <f>IF(DATA_INPUT!C688="","",DATA_INPUT!C688)</f>
        <v/>
      </c>
      <c r="E1265" s="27" t="str">
        <f>IF(DATA_INPUT!D688="","",DATA_INPUT!D688)</f>
        <v/>
      </c>
      <c r="F1265" t="str">
        <f t="shared" si="31"/>
        <v/>
      </c>
      <c r="G1265" t="str">
        <f t="shared" si="32"/>
        <v/>
      </c>
    </row>
    <row r="1266" spans="1:7">
      <c r="A1266" s="10" t="str">
        <f>IF(DATA_INPUT!A689="","",DATA_INPUT!A689)</f>
        <v/>
      </c>
      <c r="B1266" t="str">
        <f t="shared" si="30"/>
        <v/>
      </c>
      <c r="C1266" t="str">
        <f>IF(DATA_INPUT!B689="","",DATA_INPUT!B689)</f>
        <v/>
      </c>
      <c r="D1266" t="str">
        <f>IF(DATA_INPUT!C689="","",DATA_INPUT!C689)</f>
        <v/>
      </c>
      <c r="E1266" s="27" t="str">
        <f>IF(DATA_INPUT!D689="","",DATA_INPUT!D689)</f>
        <v/>
      </c>
      <c r="F1266" t="str">
        <f t="shared" si="31"/>
        <v/>
      </c>
      <c r="G1266" t="str">
        <f t="shared" si="32"/>
        <v/>
      </c>
    </row>
    <row r="1267" spans="1:7">
      <c r="A1267" s="10" t="str">
        <f>IF(DATA_INPUT!A690="","",DATA_INPUT!A690)</f>
        <v/>
      </c>
      <c r="B1267" t="str">
        <f t="shared" si="30"/>
        <v/>
      </c>
      <c r="C1267" t="str">
        <f>IF(DATA_INPUT!B690="","",DATA_INPUT!B690)</f>
        <v/>
      </c>
      <c r="D1267" t="str">
        <f>IF(DATA_INPUT!C690="","",DATA_INPUT!C690)</f>
        <v/>
      </c>
      <c r="E1267" s="27" t="str">
        <f>IF(DATA_INPUT!D690="","",DATA_INPUT!D690)</f>
        <v/>
      </c>
      <c r="F1267" t="str">
        <f t="shared" si="31"/>
        <v/>
      </c>
      <c r="G1267" t="str">
        <f t="shared" si="32"/>
        <v/>
      </c>
    </row>
    <row r="1268" spans="1:7">
      <c r="A1268" s="10" t="str">
        <f>IF(DATA_INPUT!A691="","",DATA_INPUT!A691)</f>
        <v/>
      </c>
      <c r="B1268" t="str">
        <f t="shared" si="30"/>
        <v/>
      </c>
      <c r="C1268" t="str">
        <f>IF(DATA_INPUT!B691="","",DATA_INPUT!B691)</f>
        <v/>
      </c>
      <c r="D1268" t="str">
        <f>IF(DATA_INPUT!C691="","",DATA_INPUT!C691)</f>
        <v/>
      </c>
      <c r="E1268" s="27" t="str">
        <f>IF(DATA_INPUT!D691="","",DATA_INPUT!D691)</f>
        <v/>
      </c>
      <c r="F1268" t="str">
        <f t="shared" si="31"/>
        <v/>
      </c>
      <c r="G1268" t="str">
        <f t="shared" si="32"/>
        <v/>
      </c>
    </row>
    <row r="1269" spans="1:7">
      <c r="A1269" s="10" t="str">
        <f>IF(DATA_INPUT!A692="","",DATA_INPUT!A692)</f>
        <v/>
      </c>
      <c r="B1269" t="str">
        <f t="shared" si="30"/>
        <v/>
      </c>
      <c r="C1269" t="str">
        <f>IF(DATA_INPUT!B692="","",DATA_INPUT!B692)</f>
        <v/>
      </c>
      <c r="D1269" t="str">
        <f>IF(DATA_INPUT!C692="","",DATA_INPUT!C692)</f>
        <v/>
      </c>
      <c r="E1269" s="27" t="str">
        <f>IF(DATA_INPUT!D692="","",DATA_INPUT!D692)</f>
        <v/>
      </c>
      <c r="F1269" t="str">
        <f t="shared" si="31"/>
        <v/>
      </c>
      <c r="G1269" t="str">
        <f t="shared" si="32"/>
        <v/>
      </c>
    </row>
    <row r="1270" spans="1:7">
      <c r="A1270" s="10" t="str">
        <f>IF(DATA_INPUT!A693="","",DATA_INPUT!A693)</f>
        <v/>
      </c>
      <c r="B1270" t="str">
        <f t="shared" si="30"/>
        <v/>
      </c>
      <c r="C1270" t="str">
        <f>IF(DATA_INPUT!B693="","",DATA_INPUT!B693)</f>
        <v/>
      </c>
      <c r="D1270" t="str">
        <f>IF(DATA_INPUT!C693="","",DATA_INPUT!C693)</f>
        <v/>
      </c>
      <c r="E1270" s="27" t="str">
        <f>IF(DATA_INPUT!D693="","",DATA_INPUT!D693)</f>
        <v/>
      </c>
      <c r="F1270" t="str">
        <f t="shared" si="31"/>
        <v/>
      </c>
      <c r="G1270" t="str">
        <f t="shared" si="32"/>
        <v/>
      </c>
    </row>
    <row r="1271" spans="1:7">
      <c r="A1271" s="10" t="str">
        <f>IF(DATA_INPUT!A694="","",DATA_INPUT!A694)</f>
        <v/>
      </c>
      <c r="B1271" t="str">
        <f t="shared" si="30"/>
        <v/>
      </c>
      <c r="C1271" t="str">
        <f>IF(DATA_INPUT!B694="","",DATA_INPUT!B694)</f>
        <v/>
      </c>
      <c r="D1271" t="str">
        <f>IF(DATA_INPUT!C694="","",DATA_INPUT!C694)</f>
        <v/>
      </c>
      <c r="E1271" s="27" t="str">
        <f>IF(DATA_INPUT!D694="","",DATA_INPUT!D694)</f>
        <v/>
      </c>
      <c r="F1271" t="str">
        <f t="shared" si="31"/>
        <v/>
      </c>
      <c r="G1271" t="str">
        <f t="shared" si="32"/>
        <v/>
      </c>
    </row>
    <row r="1272" spans="1:7">
      <c r="A1272" s="10" t="str">
        <f>IF(DATA_INPUT!A695="","",DATA_INPUT!A695)</f>
        <v/>
      </c>
      <c r="B1272" t="str">
        <f t="shared" si="30"/>
        <v/>
      </c>
      <c r="C1272" t="str">
        <f>IF(DATA_INPUT!B695="","",DATA_INPUT!B695)</f>
        <v/>
      </c>
      <c r="D1272" t="str">
        <f>IF(DATA_INPUT!C695="","",DATA_INPUT!C695)</f>
        <v/>
      </c>
      <c r="E1272" s="27" t="str">
        <f>IF(DATA_INPUT!D695="","",DATA_INPUT!D695)</f>
        <v/>
      </c>
      <c r="F1272" t="str">
        <f t="shared" si="31"/>
        <v/>
      </c>
      <c r="G1272" t="str">
        <f t="shared" si="32"/>
        <v/>
      </c>
    </row>
    <row r="1273" spans="1:7">
      <c r="A1273" s="10" t="str">
        <f>IF(DATA_INPUT!A696="","",DATA_INPUT!A696)</f>
        <v/>
      </c>
      <c r="B1273" t="str">
        <f t="shared" si="30"/>
        <v/>
      </c>
      <c r="C1273" t="str">
        <f>IF(DATA_INPUT!B696="","",DATA_INPUT!B696)</f>
        <v/>
      </c>
      <c r="D1273" t="str">
        <f>IF(DATA_INPUT!C696="","",DATA_INPUT!C696)</f>
        <v/>
      </c>
      <c r="E1273" s="27" t="str">
        <f>IF(DATA_INPUT!D696="","",DATA_INPUT!D696)</f>
        <v/>
      </c>
      <c r="F1273" t="str">
        <f t="shared" si="31"/>
        <v/>
      </c>
      <c r="G1273" t="str">
        <f t="shared" si="32"/>
        <v/>
      </c>
    </row>
    <row r="1274" spans="1:7">
      <c r="A1274" s="10" t="str">
        <f>IF(DATA_INPUT!A697="","",DATA_INPUT!A697)</f>
        <v/>
      </c>
      <c r="B1274" t="str">
        <f t="shared" si="30"/>
        <v/>
      </c>
      <c r="C1274" t="str">
        <f>IF(DATA_INPUT!B697="","",DATA_INPUT!B697)</f>
        <v/>
      </c>
      <c r="D1274" t="str">
        <f>IF(DATA_INPUT!C697="","",DATA_INPUT!C697)</f>
        <v/>
      </c>
      <c r="E1274" s="27" t="str">
        <f>IF(DATA_INPUT!D697="","",DATA_INPUT!D697)</f>
        <v/>
      </c>
      <c r="F1274" t="str">
        <f t="shared" si="31"/>
        <v/>
      </c>
      <c r="G1274" t="str">
        <f t="shared" si="32"/>
        <v/>
      </c>
    </row>
    <row r="1275" spans="1:7">
      <c r="A1275" s="10" t="str">
        <f>IF(DATA_INPUT!A698="","",DATA_INPUT!A698)</f>
        <v/>
      </c>
      <c r="B1275" t="str">
        <f t="shared" si="30"/>
        <v/>
      </c>
      <c r="C1275" t="str">
        <f>IF(DATA_INPUT!B698="","",DATA_INPUT!B698)</f>
        <v/>
      </c>
      <c r="D1275" t="str">
        <f>IF(DATA_INPUT!C698="","",DATA_INPUT!C698)</f>
        <v/>
      </c>
      <c r="E1275" s="27" t="str">
        <f>IF(DATA_INPUT!D698="","",DATA_INPUT!D698)</f>
        <v/>
      </c>
      <c r="F1275" t="str">
        <f t="shared" si="31"/>
        <v/>
      </c>
      <c r="G1275" t="str">
        <f t="shared" si="32"/>
        <v/>
      </c>
    </row>
    <row r="1276" spans="1:7">
      <c r="A1276" s="10" t="str">
        <f>IF(DATA_INPUT!A699="","",DATA_INPUT!A699)</f>
        <v/>
      </c>
      <c r="B1276" t="str">
        <f t="shared" si="30"/>
        <v/>
      </c>
      <c r="C1276" t="str">
        <f>IF(DATA_INPUT!B699="","",DATA_INPUT!B699)</f>
        <v/>
      </c>
      <c r="D1276" t="str">
        <f>IF(DATA_INPUT!C699="","",DATA_INPUT!C699)</f>
        <v/>
      </c>
      <c r="E1276" s="27" t="str">
        <f>IF(DATA_INPUT!D699="","",DATA_INPUT!D699)</f>
        <v/>
      </c>
      <c r="F1276" t="str">
        <f t="shared" si="31"/>
        <v/>
      </c>
      <c r="G1276" t="str">
        <f t="shared" si="32"/>
        <v/>
      </c>
    </row>
    <row r="1277" spans="1:7">
      <c r="A1277" s="10" t="str">
        <f>IF(DATA_INPUT!A700="","",DATA_INPUT!A700)</f>
        <v/>
      </c>
      <c r="B1277" t="str">
        <f t="shared" si="30"/>
        <v/>
      </c>
      <c r="C1277" t="str">
        <f>IF(DATA_INPUT!B700="","",DATA_INPUT!B700)</f>
        <v/>
      </c>
      <c r="D1277" t="str">
        <f>IF(DATA_INPUT!C700="","",DATA_INPUT!C700)</f>
        <v/>
      </c>
      <c r="E1277" s="27" t="str">
        <f>IF(DATA_INPUT!D700="","",DATA_INPUT!D700)</f>
        <v/>
      </c>
      <c r="F1277" t="str">
        <f t="shared" si="31"/>
        <v/>
      </c>
      <c r="G1277" t="str">
        <f t="shared" si="32"/>
        <v/>
      </c>
    </row>
    <row r="1278" spans="1:7">
      <c r="A1278" s="10" t="str">
        <f>IF(DATA_INPUT!A701="","",DATA_INPUT!A701)</f>
        <v/>
      </c>
      <c r="B1278" t="str">
        <f t="shared" si="30"/>
        <v/>
      </c>
      <c r="C1278" t="str">
        <f>IF(DATA_INPUT!B701="","",DATA_INPUT!B701)</f>
        <v/>
      </c>
      <c r="D1278" t="str">
        <f>IF(DATA_INPUT!C701="","",DATA_INPUT!C701)</f>
        <v/>
      </c>
      <c r="E1278" s="27" t="str">
        <f>IF(DATA_INPUT!D701="","",DATA_INPUT!D701)</f>
        <v/>
      </c>
      <c r="F1278" t="str">
        <f t="shared" si="31"/>
        <v/>
      </c>
      <c r="G1278" t="str">
        <f t="shared" si="32"/>
        <v/>
      </c>
    </row>
    <row r="1279" spans="1:7">
      <c r="A1279" s="10" t="str">
        <f>IF(DATA_INPUT!A702="","",DATA_INPUT!A702)</f>
        <v/>
      </c>
      <c r="B1279" t="str">
        <f t="shared" si="30"/>
        <v/>
      </c>
      <c r="C1279" t="str">
        <f>IF(DATA_INPUT!B702="","",DATA_INPUT!B702)</f>
        <v/>
      </c>
      <c r="D1279" t="str">
        <f>IF(DATA_INPUT!C702="","",DATA_INPUT!C702)</f>
        <v/>
      </c>
      <c r="E1279" s="27" t="str">
        <f>IF(DATA_INPUT!D702="","",DATA_INPUT!D702)</f>
        <v/>
      </c>
      <c r="F1279" t="str">
        <f t="shared" si="31"/>
        <v/>
      </c>
      <c r="G1279" t="str">
        <f t="shared" si="32"/>
        <v/>
      </c>
    </row>
    <row r="1280" spans="1:7">
      <c r="A1280" s="10" t="str">
        <f>IF(DATA_INPUT!A703="","",DATA_INPUT!A703)</f>
        <v/>
      </c>
      <c r="B1280" t="str">
        <f t="shared" si="30"/>
        <v/>
      </c>
      <c r="C1280" t="str">
        <f>IF(DATA_INPUT!B703="","",DATA_INPUT!B703)</f>
        <v/>
      </c>
      <c r="D1280" t="str">
        <f>IF(DATA_INPUT!C703="","",DATA_INPUT!C703)</f>
        <v/>
      </c>
      <c r="E1280" s="27" t="str">
        <f>IF(DATA_INPUT!D703="","",DATA_INPUT!D703)</f>
        <v/>
      </c>
      <c r="F1280" t="str">
        <f t="shared" si="31"/>
        <v/>
      </c>
      <c r="G1280" t="str">
        <f t="shared" si="32"/>
        <v/>
      </c>
    </row>
    <row r="1281" spans="1:7">
      <c r="A1281" s="10" t="str">
        <f>IF(DATA_INPUT!A704="","",DATA_INPUT!A704)</f>
        <v/>
      </c>
      <c r="B1281" t="str">
        <f t="shared" si="30"/>
        <v/>
      </c>
      <c r="C1281" t="str">
        <f>IF(DATA_INPUT!B704="","",DATA_INPUT!B704)</f>
        <v/>
      </c>
      <c r="D1281" t="str">
        <f>IF(DATA_INPUT!C704="","",DATA_INPUT!C704)</f>
        <v/>
      </c>
      <c r="E1281" s="27" t="str">
        <f>IF(DATA_INPUT!D704="","",DATA_INPUT!D704)</f>
        <v/>
      </c>
      <c r="F1281" t="str">
        <f t="shared" si="31"/>
        <v/>
      </c>
      <c r="G1281" t="str">
        <f t="shared" si="32"/>
        <v/>
      </c>
    </row>
    <row r="1282" spans="1:7">
      <c r="A1282" s="10" t="str">
        <f>IF(DATA_INPUT!A705="","",DATA_INPUT!A705)</f>
        <v/>
      </c>
      <c r="B1282" t="str">
        <f t="shared" si="30"/>
        <v/>
      </c>
      <c r="C1282" t="str">
        <f>IF(DATA_INPUT!B705="","",DATA_INPUT!B705)</f>
        <v/>
      </c>
      <c r="D1282" t="str">
        <f>IF(DATA_INPUT!C705="","",DATA_INPUT!C705)</f>
        <v/>
      </c>
      <c r="E1282" s="27" t="str">
        <f>IF(DATA_INPUT!D705="","",DATA_INPUT!D705)</f>
        <v/>
      </c>
      <c r="F1282" t="str">
        <f t="shared" si="31"/>
        <v/>
      </c>
      <c r="G1282" t="str">
        <f t="shared" si="32"/>
        <v/>
      </c>
    </row>
    <row r="1283" spans="1:7">
      <c r="A1283" s="10" t="str">
        <f>IF(DATA_INPUT!A706="","",DATA_INPUT!A706)</f>
        <v/>
      </c>
      <c r="B1283" t="str">
        <f t="shared" si="30"/>
        <v/>
      </c>
      <c r="C1283" t="str">
        <f>IF(DATA_INPUT!B706="","",DATA_INPUT!B706)</f>
        <v/>
      </c>
      <c r="D1283" t="str">
        <f>IF(DATA_INPUT!C706="","",DATA_INPUT!C706)</f>
        <v/>
      </c>
      <c r="E1283" s="27" t="str">
        <f>IF(DATA_INPUT!D706="","",DATA_INPUT!D706)</f>
        <v/>
      </c>
      <c r="F1283" t="str">
        <f t="shared" si="31"/>
        <v/>
      </c>
      <c r="G1283" t="str">
        <f t="shared" si="32"/>
        <v/>
      </c>
    </row>
    <row r="1284" spans="1:7">
      <c r="A1284" s="10" t="str">
        <f>IF(DATA_INPUT!A707="","",DATA_INPUT!A707)</f>
        <v/>
      </c>
      <c r="B1284" t="str">
        <f t="shared" ref="B1284:B1347" si="33">IF(A1284="","",TEXT(A1284,"dddd"))</f>
        <v/>
      </c>
      <c r="C1284" t="str">
        <f>IF(DATA_INPUT!B707="","",DATA_INPUT!B707)</f>
        <v/>
      </c>
      <c r="D1284" t="str">
        <f>IF(DATA_INPUT!C707="","",DATA_INPUT!C707)</f>
        <v/>
      </c>
      <c r="E1284" s="27" t="str">
        <f>IF(DATA_INPUT!D707="","",DATA_INPUT!D707)</f>
        <v/>
      </c>
      <c r="F1284" t="str">
        <f t="shared" ref="F1284:F1347" si="34">IF(A1284="","",TEXT(A1284,"mmm yyyy"))</f>
        <v/>
      </c>
      <c r="G1284" t="str">
        <f t="shared" ref="G1284:G1347" si="35">IF(A1284="","",WEEKNUM(A1284))</f>
        <v/>
      </c>
    </row>
    <row r="1285" spans="1:7">
      <c r="A1285" s="10" t="str">
        <f>IF(DATA_INPUT!A708="","",DATA_INPUT!A708)</f>
        <v/>
      </c>
      <c r="B1285" t="str">
        <f t="shared" si="33"/>
        <v/>
      </c>
      <c r="C1285" t="str">
        <f>IF(DATA_INPUT!B708="","",DATA_INPUT!B708)</f>
        <v/>
      </c>
      <c r="D1285" t="str">
        <f>IF(DATA_INPUT!C708="","",DATA_INPUT!C708)</f>
        <v/>
      </c>
      <c r="E1285" s="27" t="str">
        <f>IF(DATA_INPUT!D708="","",DATA_INPUT!D708)</f>
        <v/>
      </c>
      <c r="F1285" t="str">
        <f t="shared" si="34"/>
        <v/>
      </c>
      <c r="G1285" t="str">
        <f t="shared" si="35"/>
        <v/>
      </c>
    </row>
    <row r="1286" spans="1:7">
      <c r="A1286" s="10" t="str">
        <f>IF(DATA_INPUT!A709="","",DATA_INPUT!A709)</f>
        <v/>
      </c>
      <c r="B1286" t="str">
        <f t="shared" si="33"/>
        <v/>
      </c>
      <c r="C1286" t="str">
        <f>IF(DATA_INPUT!B709="","",DATA_INPUT!B709)</f>
        <v/>
      </c>
      <c r="D1286" t="str">
        <f>IF(DATA_INPUT!C709="","",DATA_INPUT!C709)</f>
        <v/>
      </c>
      <c r="E1286" s="27" t="str">
        <f>IF(DATA_INPUT!D709="","",DATA_INPUT!D709)</f>
        <v/>
      </c>
      <c r="F1286" t="str">
        <f t="shared" si="34"/>
        <v/>
      </c>
      <c r="G1286" t="str">
        <f t="shared" si="35"/>
        <v/>
      </c>
    </row>
    <row r="1287" spans="1:7">
      <c r="A1287" s="10" t="str">
        <f>IF(DATA_INPUT!A710="","",DATA_INPUT!A710)</f>
        <v/>
      </c>
      <c r="B1287" t="str">
        <f t="shared" si="33"/>
        <v/>
      </c>
      <c r="C1287" t="str">
        <f>IF(DATA_INPUT!B710="","",DATA_INPUT!B710)</f>
        <v/>
      </c>
      <c r="D1287" t="str">
        <f>IF(DATA_INPUT!C710="","",DATA_INPUT!C710)</f>
        <v/>
      </c>
      <c r="E1287" s="27" t="str">
        <f>IF(DATA_INPUT!D710="","",DATA_INPUT!D710)</f>
        <v/>
      </c>
      <c r="F1287" t="str">
        <f t="shared" si="34"/>
        <v/>
      </c>
      <c r="G1287" t="str">
        <f t="shared" si="35"/>
        <v/>
      </c>
    </row>
    <row r="1288" spans="1:7">
      <c r="A1288" s="10" t="str">
        <f>IF(DATA_INPUT!A711="","",DATA_INPUT!A711)</f>
        <v/>
      </c>
      <c r="B1288" t="str">
        <f t="shared" si="33"/>
        <v/>
      </c>
      <c r="C1288" t="str">
        <f>IF(DATA_INPUT!B711="","",DATA_INPUT!B711)</f>
        <v/>
      </c>
      <c r="D1288" t="str">
        <f>IF(DATA_INPUT!C711="","",DATA_INPUT!C711)</f>
        <v/>
      </c>
      <c r="E1288" s="27" t="str">
        <f>IF(DATA_INPUT!D711="","",DATA_INPUT!D711)</f>
        <v/>
      </c>
      <c r="F1288" t="str">
        <f t="shared" si="34"/>
        <v/>
      </c>
      <c r="G1288" t="str">
        <f t="shared" si="35"/>
        <v/>
      </c>
    </row>
    <row r="1289" spans="1:7">
      <c r="A1289" s="10" t="str">
        <f>IF(DATA_INPUT!A712="","",DATA_INPUT!A712)</f>
        <v/>
      </c>
      <c r="B1289" t="str">
        <f t="shared" si="33"/>
        <v/>
      </c>
      <c r="C1289" t="str">
        <f>IF(DATA_INPUT!B712="","",DATA_INPUT!B712)</f>
        <v/>
      </c>
      <c r="D1289" t="str">
        <f>IF(DATA_INPUT!C712="","",DATA_INPUT!C712)</f>
        <v/>
      </c>
      <c r="E1289" s="27" t="str">
        <f>IF(DATA_INPUT!D712="","",DATA_INPUT!D712)</f>
        <v/>
      </c>
      <c r="F1289" t="str">
        <f t="shared" si="34"/>
        <v/>
      </c>
      <c r="G1289" t="str">
        <f t="shared" si="35"/>
        <v/>
      </c>
    </row>
    <row r="1290" spans="1:7">
      <c r="A1290" s="10" t="str">
        <f>IF(DATA_INPUT!A713="","",DATA_INPUT!A713)</f>
        <v/>
      </c>
      <c r="B1290" t="str">
        <f t="shared" si="33"/>
        <v/>
      </c>
      <c r="C1290" t="str">
        <f>IF(DATA_INPUT!B713="","",DATA_INPUT!B713)</f>
        <v/>
      </c>
      <c r="D1290" t="str">
        <f>IF(DATA_INPUT!C713="","",DATA_INPUT!C713)</f>
        <v/>
      </c>
      <c r="E1290" s="27" t="str">
        <f>IF(DATA_INPUT!D713="","",DATA_INPUT!D713)</f>
        <v/>
      </c>
      <c r="F1290" t="str">
        <f t="shared" si="34"/>
        <v/>
      </c>
      <c r="G1290" t="str">
        <f t="shared" si="35"/>
        <v/>
      </c>
    </row>
    <row r="1291" spans="1:7">
      <c r="A1291" s="10" t="str">
        <f>IF(DATA_INPUT!A714="","",DATA_INPUT!A714)</f>
        <v/>
      </c>
      <c r="B1291" t="str">
        <f t="shared" si="33"/>
        <v/>
      </c>
      <c r="C1291" t="str">
        <f>IF(DATA_INPUT!B714="","",DATA_INPUT!B714)</f>
        <v/>
      </c>
      <c r="D1291" t="str">
        <f>IF(DATA_INPUT!C714="","",DATA_INPUT!C714)</f>
        <v/>
      </c>
      <c r="E1291" s="27" t="str">
        <f>IF(DATA_INPUT!D714="","",DATA_INPUT!D714)</f>
        <v/>
      </c>
      <c r="F1291" t="str">
        <f t="shared" si="34"/>
        <v/>
      </c>
      <c r="G1291" t="str">
        <f t="shared" si="35"/>
        <v/>
      </c>
    </row>
    <row r="1292" spans="1:7">
      <c r="A1292" s="10" t="str">
        <f>IF(DATA_INPUT!A715="","",DATA_INPUT!A715)</f>
        <v/>
      </c>
      <c r="B1292" t="str">
        <f t="shared" si="33"/>
        <v/>
      </c>
      <c r="C1292" t="str">
        <f>IF(DATA_INPUT!B715="","",DATA_INPUT!B715)</f>
        <v/>
      </c>
      <c r="D1292" t="str">
        <f>IF(DATA_INPUT!C715="","",DATA_INPUT!C715)</f>
        <v/>
      </c>
      <c r="E1292" s="27" t="str">
        <f>IF(DATA_INPUT!D715="","",DATA_INPUT!D715)</f>
        <v/>
      </c>
      <c r="F1292" t="str">
        <f t="shared" si="34"/>
        <v/>
      </c>
      <c r="G1292" t="str">
        <f t="shared" si="35"/>
        <v/>
      </c>
    </row>
    <row r="1293" spans="1:7">
      <c r="A1293" s="10" t="str">
        <f>IF(DATA_INPUT!A716="","",DATA_INPUT!A716)</f>
        <v/>
      </c>
      <c r="B1293" t="str">
        <f t="shared" si="33"/>
        <v/>
      </c>
      <c r="C1293" t="str">
        <f>IF(DATA_INPUT!B716="","",DATA_INPUT!B716)</f>
        <v/>
      </c>
      <c r="D1293" t="str">
        <f>IF(DATA_INPUT!C716="","",DATA_INPUT!C716)</f>
        <v/>
      </c>
      <c r="E1293" s="27" t="str">
        <f>IF(DATA_INPUT!D716="","",DATA_INPUT!D716)</f>
        <v/>
      </c>
      <c r="F1293" t="str">
        <f t="shared" si="34"/>
        <v/>
      </c>
      <c r="G1293" t="str">
        <f t="shared" si="35"/>
        <v/>
      </c>
    </row>
    <row r="1294" spans="1:7">
      <c r="A1294" s="10" t="str">
        <f>IF(DATA_INPUT!A717="","",DATA_INPUT!A717)</f>
        <v/>
      </c>
      <c r="B1294" t="str">
        <f t="shared" si="33"/>
        <v/>
      </c>
      <c r="C1294" t="str">
        <f>IF(DATA_INPUT!B717="","",DATA_INPUT!B717)</f>
        <v/>
      </c>
      <c r="D1294" t="str">
        <f>IF(DATA_INPUT!C717="","",DATA_INPUT!C717)</f>
        <v/>
      </c>
      <c r="E1294" s="27" t="str">
        <f>IF(DATA_INPUT!D717="","",DATA_INPUT!D717)</f>
        <v/>
      </c>
      <c r="F1294" t="str">
        <f t="shared" si="34"/>
        <v/>
      </c>
      <c r="G1294" t="str">
        <f t="shared" si="35"/>
        <v/>
      </c>
    </row>
    <row r="1295" spans="1:7">
      <c r="A1295" s="10" t="str">
        <f>IF(DATA_INPUT!A718="","",DATA_INPUT!A718)</f>
        <v/>
      </c>
      <c r="B1295" t="str">
        <f t="shared" si="33"/>
        <v/>
      </c>
      <c r="C1295" t="str">
        <f>IF(DATA_INPUT!B718="","",DATA_INPUT!B718)</f>
        <v/>
      </c>
      <c r="D1295" t="str">
        <f>IF(DATA_INPUT!C718="","",DATA_INPUT!C718)</f>
        <v/>
      </c>
      <c r="E1295" s="27" t="str">
        <f>IF(DATA_INPUT!D718="","",DATA_INPUT!D718)</f>
        <v/>
      </c>
      <c r="F1295" t="str">
        <f t="shared" si="34"/>
        <v/>
      </c>
      <c r="G1295" t="str">
        <f t="shared" si="35"/>
        <v/>
      </c>
    </row>
    <row r="1296" spans="1:7">
      <c r="A1296" s="10" t="str">
        <f>IF(DATA_INPUT!A719="","",DATA_INPUT!A719)</f>
        <v/>
      </c>
      <c r="B1296" t="str">
        <f t="shared" si="33"/>
        <v/>
      </c>
      <c r="C1296" t="str">
        <f>IF(DATA_INPUT!B719="","",DATA_INPUT!B719)</f>
        <v/>
      </c>
      <c r="D1296" t="str">
        <f>IF(DATA_INPUT!C719="","",DATA_INPUT!C719)</f>
        <v/>
      </c>
      <c r="E1296" s="27" t="str">
        <f>IF(DATA_INPUT!D719="","",DATA_INPUT!D719)</f>
        <v/>
      </c>
      <c r="F1296" t="str">
        <f t="shared" si="34"/>
        <v/>
      </c>
      <c r="G1296" t="str">
        <f t="shared" si="35"/>
        <v/>
      </c>
    </row>
    <row r="1297" spans="1:7">
      <c r="A1297" s="10" t="str">
        <f>IF(DATA_INPUT!A720="","",DATA_INPUT!A720)</f>
        <v/>
      </c>
      <c r="B1297" t="str">
        <f t="shared" si="33"/>
        <v/>
      </c>
      <c r="C1297" t="str">
        <f>IF(DATA_INPUT!B720="","",DATA_INPUT!B720)</f>
        <v/>
      </c>
      <c r="D1297" t="str">
        <f>IF(DATA_INPUT!C720="","",DATA_INPUT!C720)</f>
        <v/>
      </c>
      <c r="E1297" s="27" t="str">
        <f>IF(DATA_INPUT!D720="","",DATA_INPUT!D720)</f>
        <v/>
      </c>
      <c r="F1297" t="str">
        <f t="shared" si="34"/>
        <v/>
      </c>
      <c r="G1297" t="str">
        <f t="shared" si="35"/>
        <v/>
      </c>
    </row>
    <row r="1298" spans="1:7">
      <c r="A1298" s="10" t="str">
        <f>IF(DATA_INPUT!A721="","",DATA_INPUT!A721)</f>
        <v/>
      </c>
      <c r="B1298" t="str">
        <f t="shared" si="33"/>
        <v/>
      </c>
      <c r="C1298" t="str">
        <f>IF(DATA_INPUT!B721="","",DATA_INPUT!B721)</f>
        <v/>
      </c>
      <c r="D1298" t="str">
        <f>IF(DATA_INPUT!C721="","",DATA_INPUT!C721)</f>
        <v/>
      </c>
      <c r="E1298" s="27" t="str">
        <f>IF(DATA_INPUT!D721="","",DATA_INPUT!D721)</f>
        <v/>
      </c>
      <c r="F1298" t="str">
        <f t="shared" si="34"/>
        <v/>
      </c>
      <c r="G1298" t="str">
        <f t="shared" si="35"/>
        <v/>
      </c>
    </row>
    <row r="1299" spans="1:7">
      <c r="A1299" s="10" t="str">
        <f>IF(DATA_INPUT!A722="","",DATA_INPUT!A722)</f>
        <v/>
      </c>
      <c r="B1299" t="str">
        <f t="shared" si="33"/>
        <v/>
      </c>
      <c r="C1299" t="str">
        <f>IF(DATA_INPUT!B722="","",DATA_INPUT!B722)</f>
        <v/>
      </c>
      <c r="D1299" t="str">
        <f>IF(DATA_INPUT!C722="","",DATA_INPUT!C722)</f>
        <v/>
      </c>
      <c r="E1299" s="27" t="str">
        <f>IF(DATA_INPUT!D722="","",DATA_INPUT!D722)</f>
        <v/>
      </c>
      <c r="F1299" t="str">
        <f t="shared" si="34"/>
        <v/>
      </c>
      <c r="G1299" t="str">
        <f t="shared" si="35"/>
        <v/>
      </c>
    </row>
    <row r="1300" spans="1:7">
      <c r="A1300" s="10" t="str">
        <f>IF(DATA_INPUT!A723="","",DATA_INPUT!A723)</f>
        <v/>
      </c>
      <c r="B1300" t="str">
        <f t="shared" si="33"/>
        <v/>
      </c>
      <c r="C1300" t="str">
        <f>IF(DATA_INPUT!B723="","",DATA_INPUT!B723)</f>
        <v/>
      </c>
      <c r="D1300" t="str">
        <f>IF(DATA_INPUT!C723="","",DATA_INPUT!C723)</f>
        <v/>
      </c>
      <c r="E1300" s="27" t="str">
        <f>IF(DATA_INPUT!D723="","",DATA_INPUT!D723)</f>
        <v/>
      </c>
      <c r="F1300" t="str">
        <f t="shared" si="34"/>
        <v/>
      </c>
      <c r="G1300" t="str">
        <f t="shared" si="35"/>
        <v/>
      </c>
    </row>
    <row r="1301" spans="1:7">
      <c r="A1301" s="10" t="str">
        <f>IF(DATA_INPUT!A724="","",DATA_INPUT!A724)</f>
        <v/>
      </c>
      <c r="B1301" t="str">
        <f t="shared" si="33"/>
        <v/>
      </c>
      <c r="C1301" t="str">
        <f>IF(DATA_INPUT!B724="","",DATA_INPUT!B724)</f>
        <v/>
      </c>
      <c r="D1301" t="str">
        <f>IF(DATA_INPUT!C724="","",DATA_INPUT!C724)</f>
        <v/>
      </c>
      <c r="E1301" s="27" t="str">
        <f>IF(DATA_INPUT!D724="","",DATA_INPUT!D724)</f>
        <v/>
      </c>
      <c r="F1301" t="str">
        <f t="shared" si="34"/>
        <v/>
      </c>
      <c r="G1301" t="str">
        <f t="shared" si="35"/>
        <v/>
      </c>
    </row>
    <row r="1302" spans="1:7">
      <c r="A1302" s="10" t="str">
        <f>IF(DATA_INPUT!A725="","",DATA_INPUT!A725)</f>
        <v/>
      </c>
      <c r="B1302" t="str">
        <f t="shared" si="33"/>
        <v/>
      </c>
      <c r="C1302" t="str">
        <f>IF(DATA_INPUT!B725="","",DATA_INPUT!B725)</f>
        <v/>
      </c>
      <c r="D1302" t="str">
        <f>IF(DATA_INPUT!C725="","",DATA_INPUT!C725)</f>
        <v/>
      </c>
      <c r="E1302" s="27" t="str">
        <f>IF(DATA_INPUT!D725="","",DATA_INPUT!D725)</f>
        <v/>
      </c>
      <c r="F1302" t="str">
        <f t="shared" si="34"/>
        <v/>
      </c>
      <c r="G1302" t="str">
        <f t="shared" si="35"/>
        <v/>
      </c>
    </row>
    <row r="1303" spans="1:7">
      <c r="A1303" s="10" t="str">
        <f>IF(DATA_INPUT!A726="","",DATA_INPUT!A726)</f>
        <v/>
      </c>
      <c r="B1303" t="str">
        <f t="shared" si="33"/>
        <v/>
      </c>
      <c r="C1303" t="str">
        <f>IF(DATA_INPUT!B726="","",DATA_INPUT!B726)</f>
        <v/>
      </c>
      <c r="D1303" t="str">
        <f>IF(DATA_INPUT!C726="","",DATA_INPUT!C726)</f>
        <v/>
      </c>
      <c r="E1303" s="27" t="str">
        <f>IF(DATA_INPUT!D726="","",DATA_INPUT!D726)</f>
        <v/>
      </c>
      <c r="F1303" t="str">
        <f t="shared" si="34"/>
        <v/>
      </c>
      <c r="G1303" t="str">
        <f t="shared" si="35"/>
        <v/>
      </c>
    </row>
    <row r="1304" spans="1:7">
      <c r="A1304" s="10" t="str">
        <f>IF(DATA_INPUT!A727="","",DATA_INPUT!A727)</f>
        <v/>
      </c>
      <c r="B1304" t="str">
        <f t="shared" si="33"/>
        <v/>
      </c>
      <c r="C1304" t="str">
        <f>IF(DATA_INPUT!B727="","",DATA_INPUT!B727)</f>
        <v/>
      </c>
      <c r="D1304" t="str">
        <f>IF(DATA_INPUT!C727="","",DATA_INPUT!C727)</f>
        <v/>
      </c>
      <c r="E1304" s="27" t="str">
        <f>IF(DATA_INPUT!D727="","",DATA_INPUT!D727)</f>
        <v/>
      </c>
      <c r="F1304" t="str">
        <f t="shared" si="34"/>
        <v/>
      </c>
      <c r="G1304" t="str">
        <f t="shared" si="35"/>
        <v/>
      </c>
    </row>
    <row r="1305" spans="1:7">
      <c r="A1305" s="10" t="str">
        <f>IF(DATA_INPUT!A728="","",DATA_INPUT!A728)</f>
        <v/>
      </c>
      <c r="B1305" t="str">
        <f t="shared" si="33"/>
        <v/>
      </c>
      <c r="C1305" t="str">
        <f>IF(DATA_INPUT!B728="","",DATA_INPUT!B728)</f>
        <v/>
      </c>
      <c r="D1305" t="str">
        <f>IF(DATA_INPUT!C728="","",DATA_INPUT!C728)</f>
        <v/>
      </c>
      <c r="E1305" s="27" t="str">
        <f>IF(DATA_INPUT!D728="","",DATA_INPUT!D728)</f>
        <v/>
      </c>
      <c r="F1305" t="str">
        <f t="shared" si="34"/>
        <v/>
      </c>
      <c r="G1305" t="str">
        <f t="shared" si="35"/>
        <v/>
      </c>
    </row>
    <row r="1306" spans="1:7">
      <c r="A1306" s="10" t="str">
        <f>IF(DATA_INPUT!A729="","",DATA_INPUT!A729)</f>
        <v/>
      </c>
      <c r="B1306" t="str">
        <f t="shared" si="33"/>
        <v/>
      </c>
      <c r="C1306" t="str">
        <f>IF(DATA_INPUT!B729="","",DATA_INPUT!B729)</f>
        <v/>
      </c>
      <c r="D1306" t="str">
        <f>IF(DATA_INPUT!C729="","",DATA_INPUT!C729)</f>
        <v/>
      </c>
      <c r="E1306" s="27" t="str">
        <f>IF(DATA_INPUT!D729="","",DATA_INPUT!D729)</f>
        <v/>
      </c>
      <c r="F1306" t="str">
        <f t="shared" si="34"/>
        <v/>
      </c>
      <c r="G1306" t="str">
        <f t="shared" si="35"/>
        <v/>
      </c>
    </row>
    <row r="1307" spans="1:7">
      <c r="A1307" s="10" t="str">
        <f>IF(DATA_INPUT!A730="","",DATA_INPUT!A730)</f>
        <v/>
      </c>
      <c r="B1307" t="str">
        <f t="shared" si="33"/>
        <v/>
      </c>
      <c r="C1307" t="str">
        <f>IF(DATA_INPUT!B730="","",DATA_INPUT!B730)</f>
        <v/>
      </c>
      <c r="D1307" t="str">
        <f>IF(DATA_INPUT!C730="","",DATA_INPUT!C730)</f>
        <v/>
      </c>
      <c r="E1307" s="27" t="str">
        <f>IF(DATA_INPUT!D730="","",DATA_INPUT!D730)</f>
        <v/>
      </c>
      <c r="F1307" t="str">
        <f t="shared" si="34"/>
        <v/>
      </c>
      <c r="G1307" t="str">
        <f t="shared" si="35"/>
        <v/>
      </c>
    </row>
    <row r="1308" spans="1:7">
      <c r="A1308" s="10" t="str">
        <f>IF(DATA_INPUT!A731="","",DATA_INPUT!A731)</f>
        <v/>
      </c>
      <c r="B1308" t="str">
        <f t="shared" si="33"/>
        <v/>
      </c>
      <c r="C1308" t="str">
        <f>IF(DATA_INPUT!B731="","",DATA_INPUT!B731)</f>
        <v/>
      </c>
      <c r="D1308" t="str">
        <f>IF(DATA_INPUT!C731="","",DATA_INPUT!C731)</f>
        <v/>
      </c>
      <c r="E1308" s="27" t="str">
        <f>IF(DATA_INPUT!D731="","",DATA_INPUT!D731)</f>
        <v/>
      </c>
      <c r="F1308" t="str">
        <f t="shared" si="34"/>
        <v/>
      </c>
      <c r="G1308" t="str">
        <f t="shared" si="35"/>
        <v/>
      </c>
    </row>
    <row r="1309" spans="1:7">
      <c r="A1309" s="10" t="str">
        <f>IF(DATA_INPUT!A732="","",DATA_INPUT!A732)</f>
        <v/>
      </c>
      <c r="B1309" t="str">
        <f t="shared" si="33"/>
        <v/>
      </c>
      <c r="C1309" t="str">
        <f>IF(DATA_INPUT!B732="","",DATA_INPUT!B732)</f>
        <v/>
      </c>
      <c r="D1309" t="str">
        <f>IF(DATA_INPUT!C732="","",DATA_INPUT!C732)</f>
        <v/>
      </c>
      <c r="E1309" s="27" t="str">
        <f>IF(DATA_INPUT!D732="","",DATA_INPUT!D732)</f>
        <v/>
      </c>
      <c r="F1309" t="str">
        <f t="shared" si="34"/>
        <v/>
      </c>
      <c r="G1309" t="str">
        <f t="shared" si="35"/>
        <v/>
      </c>
    </row>
    <row r="1310" spans="1:7">
      <c r="A1310" s="10" t="str">
        <f>IF(DATA_INPUT!A733="","",DATA_INPUT!A733)</f>
        <v/>
      </c>
      <c r="B1310" t="str">
        <f t="shared" si="33"/>
        <v/>
      </c>
      <c r="C1310" t="str">
        <f>IF(DATA_INPUT!B733="","",DATA_INPUT!B733)</f>
        <v/>
      </c>
      <c r="D1310" t="str">
        <f>IF(DATA_INPUT!C733="","",DATA_INPUT!C733)</f>
        <v/>
      </c>
      <c r="E1310" s="27" t="str">
        <f>IF(DATA_INPUT!D733="","",DATA_INPUT!D733)</f>
        <v/>
      </c>
      <c r="F1310" t="str">
        <f t="shared" si="34"/>
        <v/>
      </c>
      <c r="G1310" t="str">
        <f t="shared" si="35"/>
        <v/>
      </c>
    </row>
    <row r="1311" spans="1:7">
      <c r="A1311" s="10" t="str">
        <f>IF(DATA_INPUT!A734="","",DATA_INPUT!A734)</f>
        <v/>
      </c>
      <c r="B1311" t="str">
        <f t="shared" si="33"/>
        <v/>
      </c>
      <c r="C1311" t="str">
        <f>IF(DATA_INPUT!B734="","",DATA_INPUT!B734)</f>
        <v/>
      </c>
      <c r="D1311" t="str">
        <f>IF(DATA_INPUT!C734="","",DATA_INPUT!C734)</f>
        <v/>
      </c>
      <c r="E1311" s="27" t="str">
        <f>IF(DATA_INPUT!D734="","",DATA_INPUT!D734)</f>
        <v/>
      </c>
      <c r="F1311" t="str">
        <f t="shared" si="34"/>
        <v/>
      </c>
      <c r="G1311" t="str">
        <f t="shared" si="35"/>
        <v/>
      </c>
    </row>
    <row r="1312" spans="1:7">
      <c r="A1312" s="10" t="str">
        <f>IF(DATA_INPUT!A735="","",DATA_INPUT!A735)</f>
        <v/>
      </c>
      <c r="B1312" t="str">
        <f t="shared" si="33"/>
        <v/>
      </c>
      <c r="C1312" t="str">
        <f>IF(DATA_INPUT!B735="","",DATA_INPUT!B735)</f>
        <v/>
      </c>
      <c r="D1312" t="str">
        <f>IF(DATA_INPUT!C735="","",DATA_INPUT!C735)</f>
        <v/>
      </c>
      <c r="E1312" s="27" t="str">
        <f>IF(DATA_INPUT!D735="","",DATA_INPUT!D735)</f>
        <v/>
      </c>
      <c r="F1312" t="str">
        <f t="shared" si="34"/>
        <v/>
      </c>
      <c r="G1312" t="str">
        <f t="shared" si="35"/>
        <v/>
      </c>
    </row>
    <row r="1313" spans="1:7">
      <c r="A1313" s="10" t="str">
        <f>IF(DATA_INPUT!A736="","",DATA_INPUT!A736)</f>
        <v/>
      </c>
      <c r="B1313" t="str">
        <f t="shared" si="33"/>
        <v/>
      </c>
      <c r="C1313" t="str">
        <f>IF(DATA_INPUT!B736="","",DATA_INPUT!B736)</f>
        <v/>
      </c>
      <c r="D1313" t="str">
        <f>IF(DATA_INPUT!C736="","",DATA_INPUT!C736)</f>
        <v/>
      </c>
      <c r="E1313" s="27" t="str">
        <f>IF(DATA_INPUT!D736="","",DATA_INPUT!D736)</f>
        <v/>
      </c>
      <c r="F1313" t="str">
        <f t="shared" si="34"/>
        <v/>
      </c>
      <c r="G1313" t="str">
        <f t="shared" si="35"/>
        <v/>
      </c>
    </row>
    <row r="1314" spans="1:7">
      <c r="A1314" s="10" t="str">
        <f>IF(DATA_INPUT!A737="","",DATA_INPUT!A737)</f>
        <v/>
      </c>
      <c r="B1314" t="str">
        <f t="shared" si="33"/>
        <v/>
      </c>
      <c r="C1314" t="str">
        <f>IF(DATA_INPUT!B737="","",DATA_INPUT!B737)</f>
        <v/>
      </c>
      <c r="D1314" t="str">
        <f>IF(DATA_INPUT!C737="","",DATA_INPUT!C737)</f>
        <v/>
      </c>
      <c r="E1314" s="27" t="str">
        <f>IF(DATA_INPUT!D737="","",DATA_INPUT!D737)</f>
        <v/>
      </c>
      <c r="F1314" t="str">
        <f t="shared" si="34"/>
        <v/>
      </c>
      <c r="G1314" t="str">
        <f t="shared" si="35"/>
        <v/>
      </c>
    </row>
    <row r="1315" spans="1:7">
      <c r="A1315" s="10" t="str">
        <f>IF(DATA_INPUT!A738="","",DATA_INPUT!A738)</f>
        <v/>
      </c>
      <c r="B1315" t="str">
        <f t="shared" si="33"/>
        <v/>
      </c>
      <c r="C1315" t="str">
        <f>IF(DATA_INPUT!B738="","",DATA_INPUT!B738)</f>
        <v/>
      </c>
      <c r="D1315" t="str">
        <f>IF(DATA_INPUT!C738="","",DATA_INPUT!C738)</f>
        <v/>
      </c>
      <c r="E1315" s="27" t="str">
        <f>IF(DATA_INPUT!D738="","",DATA_INPUT!D738)</f>
        <v/>
      </c>
      <c r="F1315" t="str">
        <f t="shared" si="34"/>
        <v/>
      </c>
      <c r="G1315" t="str">
        <f t="shared" si="35"/>
        <v/>
      </c>
    </row>
    <row r="1316" spans="1:7">
      <c r="A1316" s="10" t="str">
        <f>IF(DATA_INPUT!A739="","",DATA_INPUT!A739)</f>
        <v/>
      </c>
      <c r="B1316" t="str">
        <f t="shared" si="33"/>
        <v/>
      </c>
      <c r="C1316" t="str">
        <f>IF(DATA_INPUT!B739="","",DATA_INPUT!B739)</f>
        <v/>
      </c>
      <c r="D1316" t="str">
        <f>IF(DATA_INPUT!C739="","",DATA_INPUT!C739)</f>
        <v/>
      </c>
      <c r="E1316" s="27" t="str">
        <f>IF(DATA_INPUT!D739="","",DATA_INPUT!D739)</f>
        <v/>
      </c>
      <c r="F1316" t="str">
        <f t="shared" si="34"/>
        <v/>
      </c>
      <c r="G1316" t="str">
        <f t="shared" si="35"/>
        <v/>
      </c>
    </row>
    <row r="1317" spans="1:7">
      <c r="A1317" s="10" t="str">
        <f>IF(DATA_INPUT!A740="","",DATA_INPUT!A740)</f>
        <v/>
      </c>
      <c r="B1317" t="str">
        <f t="shared" si="33"/>
        <v/>
      </c>
      <c r="C1317" t="str">
        <f>IF(DATA_INPUT!B740="","",DATA_INPUT!B740)</f>
        <v/>
      </c>
      <c r="D1317" t="str">
        <f>IF(DATA_INPUT!C740="","",DATA_INPUT!C740)</f>
        <v/>
      </c>
      <c r="E1317" s="27" t="str">
        <f>IF(DATA_INPUT!D740="","",DATA_INPUT!D740)</f>
        <v/>
      </c>
      <c r="F1317" t="str">
        <f t="shared" si="34"/>
        <v/>
      </c>
      <c r="G1317" t="str">
        <f t="shared" si="35"/>
        <v/>
      </c>
    </row>
    <row r="1318" spans="1:7">
      <c r="A1318" s="10" t="str">
        <f>IF(DATA_INPUT!A741="","",DATA_INPUT!A741)</f>
        <v/>
      </c>
      <c r="B1318" t="str">
        <f t="shared" si="33"/>
        <v/>
      </c>
      <c r="C1318" t="str">
        <f>IF(DATA_INPUT!B741="","",DATA_INPUT!B741)</f>
        <v/>
      </c>
      <c r="D1318" t="str">
        <f>IF(DATA_INPUT!C741="","",DATA_INPUT!C741)</f>
        <v/>
      </c>
      <c r="E1318" s="27" t="str">
        <f>IF(DATA_INPUT!D741="","",DATA_INPUT!D741)</f>
        <v/>
      </c>
      <c r="F1318" t="str">
        <f t="shared" si="34"/>
        <v/>
      </c>
      <c r="G1318" t="str">
        <f t="shared" si="35"/>
        <v/>
      </c>
    </row>
    <row r="1319" spans="1:7">
      <c r="A1319" s="10" t="str">
        <f>IF(DATA_INPUT!A742="","",DATA_INPUT!A742)</f>
        <v/>
      </c>
      <c r="B1319" t="str">
        <f t="shared" si="33"/>
        <v/>
      </c>
      <c r="C1319" t="str">
        <f>IF(DATA_INPUT!B742="","",DATA_INPUT!B742)</f>
        <v/>
      </c>
      <c r="D1319" t="str">
        <f>IF(DATA_INPUT!C742="","",DATA_INPUT!C742)</f>
        <v/>
      </c>
      <c r="E1319" s="27" t="str">
        <f>IF(DATA_INPUT!D742="","",DATA_INPUT!D742)</f>
        <v/>
      </c>
      <c r="F1319" t="str">
        <f t="shared" si="34"/>
        <v/>
      </c>
      <c r="G1319" t="str">
        <f t="shared" si="35"/>
        <v/>
      </c>
    </row>
    <row r="1320" spans="1:7">
      <c r="A1320" s="10" t="str">
        <f>IF(DATA_INPUT!A743="","",DATA_INPUT!A743)</f>
        <v/>
      </c>
      <c r="B1320" t="str">
        <f t="shared" si="33"/>
        <v/>
      </c>
      <c r="C1320" t="str">
        <f>IF(DATA_INPUT!B743="","",DATA_INPUT!B743)</f>
        <v/>
      </c>
      <c r="D1320" t="str">
        <f>IF(DATA_INPUT!C743="","",DATA_INPUT!C743)</f>
        <v/>
      </c>
      <c r="E1320" s="27" t="str">
        <f>IF(DATA_INPUT!D743="","",DATA_INPUT!D743)</f>
        <v/>
      </c>
      <c r="F1320" t="str">
        <f t="shared" si="34"/>
        <v/>
      </c>
      <c r="G1320" t="str">
        <f t="shared" si="35"/>
        <v/>
      </c>
    </row>
    <row r="1321" spans="1:7">
      <c r="A1321" s="10" t="str">
        <f>IF(DATA_INPUT!A744="","",DATA_INPUT!A744)</f>
        <v/>
      </c>
      <c r="B1321" t="str">
        <f t="shared" si="33"/>
        <v/>
      </c>
      <c r="C1321" t="str">
        <f>IF(DATA_INPUT!B744="","",DATA_INPUT!B744)</f>
        <v/>
      </c>
      <c r="D1321" t="str">
        <f>IF(DATA_INPUT!C744="","",DATA_INPUT!C744)</f>
        <v/>
      </c>
      <c r="E1321" s="27" t="str">
        <f>IF(DATA_INPUT!D744="","",DATA_INPUT!D744)</f>
        <v/>
      </c>
      <c r="F1321" t="str">
        <f t="shared" si="34"/>
        <v/>
      </c>
      <c r="G1321" t="str">
        <f t="shared" si="35"/>
        <v/>
      </c>
    </row>
    <row r="1322" spans="1:7">
      <c r="A1322" s="10" t="str">
        <f>IF(DATA_INPUT!A745="","",DATA_INPUT!A745)</f>
        <v/>
      </c>
      <c r="B1322" t="str">
        <f t="shared" si="33"/>
        <v/>
      </c>
      <c r="C1322" t="str">
        <f>IF(DATA_INPUT!B745="","",DATA_INPUT!B745)</f>
        <v/>
      </c>
      <c r="D1322" t="str">
        <f>IF(DATA_INPUT!C745="","",DATA_INPUT!C745)</f>
        <v/>
      </c>
      <c r="E1322" s="27" t="str">
        <f>IF(DATA_INPUT!D745="","",DATA_INPUT!D745)</f>
        <v/>
      </c>
      <c r="F1322" t="str">
        <f t="shared" si="34"/>
        <v/>
      </c>
      <c r="G1322" t="str">
        <f t="shared" si="35"/>
        <v/>
      </c>
    </row>
    <row r="1323" spans="1:7">
      <c r="A1323" s="10" t="str">
        <f>IF(DATA_INPUT!A746="","",DATA_INPUT!A746)</f>
        <v/>
      </c>
      <c r="B1323" t="str">
        <f t="shared" si="33"/>
        <v/>
      </c>
      <c r="C1323" t="str">
        <f>IF(DATA_INPUT!B746="","",DATA_INPUT!B746)</f>
        <v/>
      </c>
      <c r="D1323" t="str">
        <f>IF(DATA_INPUT!C746="","",DATA_INPUT!C746)</f>
        <v/>
      </c>
      <c r="E1323" s="27" t="str">
        <f>IF(DATA_INPUT!D746="","",DATA_INPUT!D746)</f>
        <v/>
      </c>
      <c r="F1323" t="str">
        <f t="shared" si="34"/>
        <v/>
      </c>
      <c r="G1323" t="str">
        <f t="shared" si="35"/>
        <v/>
      </c>
    </row>
    <row r="1324" spans="1:7">
      <c r="A1324" s="10" t="str">
        <f>IF(DATA_INPUT!A747="","",DATA_INPUT!A747)</f>
        <v/>
      </c>
      <c r="B1324" t="str">
        <f t="shared" si="33"/>
        <v/>
      </c>
      <c r="C1324" t="str">
        <f>IF(DATA_INPUT!B747="","",DATA_INPUT!B747)</f>
        <v/>
      </c>
      <c r="D1324" t="str">
        <f>IF(DATA_INPUT!C747="","",DATA_INPUT!C747)</f>
        <v/>
      </c>
      <c r="E1324" s="27" t="str">
        <f>IF(DATA_INPUT!D747="","",DATA_INPUT!D747)</f>
        <v/>
      </c>
      <c r="F1324" t="str">
        <f t="shared" si="34"/>
        <v/>
      </c>
      <c r="G1324" t="str">
        <f t="shared" si="35"/>
        <v/>
      </c>
    </row>
    <row r="1325" spans="1:7">
      <c r="A1325" s="10" t="str">
        <f>IF(DATA_INPUT!A748="","",DATA_INPUT!A748)</f>
        <v/>
      </c>
      <c r="B1325" t="str">
        <f t="shared" si="33"/>
        <v/>
      </c>
      <c r="C1325" t="str">
        <f>IF(DATA_INPUT!B748="","",DATA_INPUT!B748)</f>
        <v/>
      </c>
      <c r="D1325" t="str">
        <f>IF(DATA_INPUT!C748="","",DATA_INPUT!C748)</f>
        <v/>
      </c>
      <c r="E1325" s="27" t="str">
        <f>IF(DATA_INPUT!D748="","",DATA_INPUT!D748)</f>
        <v/>
      </c>
      <c r="F1325" t="str">
        <f t="shared" si="34"/>
        <v/>
      </c>
      <c r="G1325" t="str">
        <f t="shared" si="35"/>
        <v/>
      </c>
    </row>
    <row r="1326" spans="1:7">
      <c r="A1326" s="10" t="str">
        <f>IF(DATA_INPUT!A749="","",DATA_INPUT!A749)</f>
        <v/>
      </c>
      <c r="B1326" t="str">
        <f t="shared" si="33"/>
        <v/>
      </c>
      <c r="C1326" t="str">
        <f>IF(DATA_INPUT!B749="","",DATA_INPUT!B749)</f>
        <v/>
      </c>
      <c r="D1326" t="str">
        <f>IF(DATA_INPUT!C749="","",DATA_INPUT!C749)</f>
        <v/>
      </c>
      <c r="E1326" s="27" t="str">
        <f>IF(DATA_INPUT!D749="","",DATA_INPUT!D749)</f>
        <v/>
      </c>
      <c r="F1326" t="str">
        <f t="shared" si="34"/>
        <v/>
      </c>
      <c r="G1326" t="str">
        <f t="shared" si="35"/>
        <v/>
      </c>
    </row>
    <row r="1327" spans="1:7">
      <c r="A1327" s="10" t="str">
        <f>IF(DATA_INPUT!A750="","",DATA_INPUT!A750)</f>
        <v/>
      </c>
      <c r="B1327" t="str">
        <f t="shared" si="33"/>
        <v/>
      </c>
      <c r="C1327" t="str">
        <f>IF(DATA_INPUT!B750="","",DATA_INPUT!B750)</f>
        <v/>
      </c>
      <c r="D1327" t="str">
        <f>IF(DATA_INPUT!C750="","",DATA_INPUT!C750)</f>
        <v/>
      </c>
      <c r="E1327" s="27" t="str">
        <f>IF(DATA_INPUT!D750="","",DATA_INPUT!D750)</f>
        <v/>
      </c>
      <c r="F1327" t="str">
        <f t="shared" si="34"/>
        <v/>
      </c>
      <c r="G1327" t="str">
        <f t="shared" si="35"/>
        <v/>
      </c>
    </row>
    <row r="1328" spans="1:7">
      <c r="A1328" s="10" t="str">
        <f>IF(DATA_INPUT!A751="","",DATA_INPUT!A751)</f>
        <v/>
      </c>
      <c r="B1328" t="str">
        <f t="shared" si="33"/>
        <v/>
      </c>
      <c r="C1328" t="str">
        <f>IF(DATA_INPUT!B751="","",DATA_INPUT!B751)</f>
        <v/>
      </c>
      <c r="D1328" t="str">
        <f>IF(DATA_INPUT!C751="","",DATA_INPUT!C751)</f>
        <v/>
      </c>
      <c r="E1328" s="27" t="str">
        <f>IF(DATA_INPUT!D751="","",DATA_INPUT!D751)</f>
        <v/>
      </c>
      <c r="F1328" t="str">
        <f t="shared" si="34"/>
        <v/>
      </c>
      <c r="G1328" t="str">
        <f t="shared" si="35"/>
        <v/>
      </c>
    </row>
    <row r="1329" spans="1:7">
      <c r="A1329" s="10" t="str">
        <f>IF(DATA_INPUT!A752="","",DATA_INPUT!A752)</f>
        <v/>
      </c>
      <c r="B1329" t="str">
        <f t="shared" si="33"/>
        <v/>
      </c>
      <c r="C1329" t="str">
        <f>IF(DATA_INPUT!B752="","",DATA_INPUT!B752)</f>
        <v/>
      </c>
      <c r="D1329" t="str">
        <f>IF(DATA_INPUT!C752="","",DATA_INPUT!C752)</f>
        <v/>
      </c>
      <c r="E1329" s="27" t="str">
        <f>IF(DATA_INPUT!D752="","",DATA_INPUT!D752)</f>
        <v/>
      </c>
      <c r="F1329" t="str">
        <f t="shared" si="34"/>
        <v/>
      </c>
      <c r="G1329" t="str">
        <f t="shared" si="35"/>
        <v/>
      </c>
    </row>
    <row r="1330" spans="1:7">
      <c r="A1330" s="10" t="str">
        <f>IF(DATA_INPUT!A753="","",DATA_INPUT!A753)</f>
        <v/>
      </c>
      <c r="B1330" t="str">
        <f t="shared" si="33"/>
        <v/>
      </c>
      <c r="C1330" t="str">
        <f>IF(DATA_INPUT!B753="","",DATA_INPUT!B753)</f>
        <v/>
      </c>
      <c r="D1330" t="str">
        <f>IF(DATA_INPUT!C753="","",DATA_INPUT!C753)</f>
        <v/>
      </c>
      <c r="E1330" s="27" t="str">
        <f>IF(DATA_INPUT!D753="","",DATA_INPUT!D753)</f>
        <v/>
      </c>
      <c r="F1330" t="str">
        <f t="shared" si="34"/>
        <v/>
      </c>
      <c r="G1330" t="str">
        <f t="shared" si="35"/>
        <v/>
      </c>
    </row>
    <row r="1331" spans="1:7">
      <c r="A1331" s="10" t="str">
        <f>IF(DATA_INPUT!A754="","",DATA_INPUT!A754)</f>
        <v/>
      </c>
      <c r="B1331" t="str">
        <f t="shared" si="33"/>
        <v/>
      </c>
      <c r="C1331" t="str">
        <f>IF(DATA_INPUT!B754="","",DATA_INPUT!B754)</f>
        <v/>
      </c>
      <c r="D1331" t="str">
        <f>IF(DATA_INPUT!C754="","",DATA_INPUT!C754)</f>
        <v/>
      </c>
      <c r="E1331" s="27" t="str">
        <f>IF(DATA_INPUT!D754="","",DATA_INPUT!D754)</f>
        <v/>
      </c>
      <c r="F1331" t="str">
        <f t="shared" si="34"/>
        <v/>
      </c>
      <c r="G1331" t="str">
        <f t="shared" si="35"/>
        <v/>
      </c>
    </row>
    <row r="1332" spans="1:7">
      <c r="A1332" s="10" t="str">
        <f>IF(DATA_INPUT!A755="","",DATA_INPUT!A755)</f>
        <v/>
      </c>
      <c r="B1332" t="str">
        <f t="shared" si="33"/>
        <v/>
      </c>
      <c r="C1332" t="str">
        <f>IF(DATA_INPUT!B755="","",DATA_INPUT!B755)</f>
        <v/>
      </c>
      <c r="D1332" t="str">
        <f>IF(DATA_INPUT!C755="","",DATA_INPUT!C755)</f>
        <v/>
      </c>
      <c r="E1332" s="27" t="str">
        <f>IF(DATA_INPUT!D755="","",DATA_INPUT!D755)</f>
        <v/>
      </c>
      <c r="F1332" t="str">
        <f t="shared" si="34"/>
        <v/>
      </c>
      <c r="G1332" t="str">
        <f t="shared" si="35"/>
        <v/>
      </c>
    </row>
    <row r="1333" spans="1:7">
      <c r="A1333" s="10" t="str">
        <f>IF(DATA_INPUT!A756="","",DATA_INPUT!A756)</f>
        <v/>
      </c>
      <c r="B1333" t="str">
        <f t="shared" si="33"/>
        <v/>
      </c>
      <c r="C1333" t="str">
        <f>IF(DATA_INPUT!B756="","",DATA_INPUT!B756)</f>
        <v/>
      </c>
      <c r="D1333" t="str">
        <f>IF(DATA_INPUT!C756="","",DATA_INPUT!C756)</f>
        <v/>
      </c>
      <c r="E1333" s="27" t="str">
        <f>IF(DATA_INPUT!D756="","",DATA_INPUT!D756)</f>
        <v/>
      </c>
      <c r="F1333" t="str">
        <f t="shared" si="34"/>
        <v/>
      </c>
      <c r="G1333" t="str">
        <f t="shared" si="35"/>
        <v/>
      </c>
    </row>
    <row r="1334" spans="1:7">
      <c r="A1334" s="10" t="str">
        <f>IF(DATA_INPUT!A757="","",DATA_INPUT!A757)</f>
        <v/>
      </c>
      <c r="B1334" t="str">
        <f t="shared" si="33"/>
        <v/>
      </c>
      <c r="C1334" t="str">
        <f>IF(DATA_INPUT!B757="","",DATA_INPUT!B757)</f>
        <v/>
      </c>
      <c r="D1334" t="str">
        <f>IF(DATA_INPUT!C757="","",DATA_INPUT!C757)</f>
        <v/>
      </c>
      <c r="E1334" s="27" t="str">
        <f>IF(DATA_INPUT!D757="","",DATA_INPUT!D757)</f>
        <v/>
      </c>
      <c r="F1334" t="str">
        <f t="shared" si="34"/>
        <v/>
      </c>
      <c r="G1334" t="str">
        <f t="shared" si="35"/>
        <v/>
      </c>
    </row>
    <row r="1335" spans="1:7">
      <c r="A1335" s="10" t="str">
        <f>IF(DATA_INPUT!A758="","",DATA_INPUT!A758)</f>
        <v/>
      </c>
      <c r="B1335" t="str">
        <f t="shared" si="33"/>
        <v/>
      </c>
      <c r="C1335" t="str">
        <f>IF(DATA_INPUT!B758="","",DATA_INPUT!B758)</f>
        <v/>
      </c>
      <c r="D1335" t="str">
        <f>IF(DATA_INPUT!C758="","",DATA_INPUT!C758)</f>
        <v/>
      </c>
      <c r="E1335" s="27" t="str">
        <f>IF(DATA_INPUT!D758="","",DATA_INPUT!D758)</f>
        <v/>
      </c>
      <c r="F1335" t="str">
        <f t="shared" si="34"/>
        <v/>
      </c>
      <c r="G1335" t="str">
        <f t="shared" si="35"/>
        <v/>
      </c>
    </row>
    <row r="1336" spans="1:7">
      <c r="A1336" s="10" t="str">
        <f>IF(DATA_INPUT!A759="","",DATA_INPUT!A759)</f>
        <v/>
      </c>
      <c r="B1336" t="str">
        <f t="shared" si="33"/>
        <v/>
      </c>
      <c r="C1336" t="str">
        <f>IF(DATA_INPUT!B759="","",DATA_INPUT!B759)</f>
        <v/>
      </c>
      <c r="D1336" t="str">
        <f>IF(DATA_INPUT!C759="","",DATA_INPUT!C759)</f>
        <v/>
      </c>
      <c r="E1336" s="27" t="str">
        <f>IF(DATA_INPUT!D759="","",DATA_INPUT!D759)</f>
        <v/>
      </c>
      <c r="F1336" t="str">
        <f t="shared" si="34"/>
        <v/>
      </c>
      <c r="G1336" t="str">
        <f t="shared" si="35"/>
        <v/>
      </c>
    </row>
    <row r="1337" spans="1:7">
      <c r="A1337" s="10" t="str">
        <f>IF(DATA_INPUT!A760="","",DATA_INPUT!A760)</f>
        <v/>
      </c>
      <c r="B1337" t="str">
        <f t="shared" si="33"/>
        <v/>
      </c>
      <c r="C1337" t="str">
        <f>IF(DATA_INPUT!B760="","",DATA_INPUT!B760)</f>
        <v/>
      </c>
      <c r="D1337" t="str">
        <f>IF(DATA_INPUT!C760="","",DATA_INPUT!C760)</f>
        <v/>
      </c>
      <c r="E1337" s="27" t="str">
        <f>IF(DATA_INPUT!D760="","",DATA_INPUT!D760)</f>
        <v/>
      </c>
      <c r="F1337" t="str">
        <f t="shared" si="34"/>
        <v/>
      </c>
      <c r="G1337" t="str">
        <f t="shared" si="35"/>
        <v/>
      </c>
    </row>
    <row r="1338" spans="1:7">
      <c r="A1338" s="10" t="str">
        <f>IF(DATA_INPUT!A761="","",DATA_INPUT!A761)</f>
        <v/>
      </c>
      <c r="B1338" t="str">
        <f t="shared" si="33"/>
        <v/>
      </c>
      <c r="C1338" t="str">
        <f>IF(DATA_INPUT!B761="","",DATA_INPUT!B761)</f>
        <v/>
      </c>
      <c r="D1338" t="str">
        <f>IF(DATA_INPUT!C761="","",DATA_INPUT!C761)</f>
        <v/>
      </c>
      <c r="E1338" s="27" t="str">
        <f>IF(DATA_INPUT!D761="","",DATA_INPUT!D761)</f>
        <v/>
      </c>
      <c r="F1338" t="str">
        <f t="shared" si="34"/>
        <v/>
      </c>
      <c r="G1338" t="str">
        <f t="shared" si="35"/>
        <v/>
      </c>
    </row>
    <row r="1339" spans="1:7">
      <c r="A1339" s="10" t="str">
        <f>IF(DATA_INPUT!A762="","",DATA_INPUT!A762)</f>
        <v/>
      </c>
      <c r="B1339" t="str">
        <f t="shared" si="33"/>
        <v/>
      </c>
      <c r="C1339" t="str">
        <f>IF(DATA_INPUT!B762="","",DATA_INPUT!B762)</f>
        <v/>
      </c>
      <c r="D1339" t="str">
        <f>IF(DATA_INPUT!C762="","",DATA_INPUT!C762)</f>
        <v/>
      </c>
      <c r="E1339" s="27" t="str">
        <f>IF(DATA_INPUT!D762="","",DATA_INPUT!D762)</f>
        <v/>
      </c>
      <c r="F1339" t="str">
        <f t="shared" si="34"/>
        <v/>
      </c>
      <c r="G1339" t="str">
        <f t="shared" si="35"/>
        <v/>
      </c>
    </row>
    <row r="1340" spans="1:7">
      <c r="A1340" s="10" t="str">
        <f>IF(DATA_INPUT!A763="","",DATA_INPUT!A763)</f>
        <v/>
      </c>
      <c r="B1340" t="str">
        <f t="shared" si="33"/>
        <v/>
      </c>
      <c r="C1340" t="str">
        <f>IF(DATA_INPUT!B763="","",DATA_INPUT!B763)</f>
        <v/>
      </c>
      <c r="D1340" t="str">
        <f>IF(DATA_INPUT!C763="","",DATA_INPUT!C763)</f>
        <v/>
      </c>
      <c r="E1340" s="27" t="str">
        <f>IF(DATA_INPUT!D763="","",DATA_INPUT!D763)</f>
        <v/>
      </c>
      <c r="F1340" t="str">
        <f t="shared" si="34"/>
        <v/>
      </c>
      <c r="G1340" t="str">
        <f t="shared" si="35"/>
        <v/>
      </c>
    </row>
    <row r="1341" spans="1:7">
      <c r="A1341" s="10" t="str">
        <f>IF(DATA_INPUT!A764="","",DATA_INPUT!A764)</f>
        <v/>
      </c>
      <c r="B1341" t="str">
        <f t="shared" si="33"/>
        <v/>
      </c>
      <c r="C1341" t="str">
        <f>IF(DATA_INPUT!B764="","",DATA_INPUT!B764)</f>
        <v/>
      </c>
      <c r="D1341" t="str">
        <f>IF(DATA_INPUT!C764="","",DATA_INPUT!C764)</f>
        <v/>
      </c>
      <c r="E1341" s="27" t="str">
        <f>IF(DATA_INPUT!D764="","",DATA_INPUT!D764)</f>
        <v/>
      </c>
      <c r="F1341" t="str">
        <f t="shared" si="34"/>
        <v/>
      </c>
      <c r="G1341" t="str">
        <f t="shared" si="35"/>
        <v/>
      </c>
    </row>
    <row r="1342" spans="1:7">
      <c r="A1342" s="10" t="str">
        <f>IF(DATA_INPUT!A765="","",DATA_INPUT!A765)</f>
        <v/>
      </c>
      <c r="B1342" t="str">
        <f t="shared" si="33"/>
        <v/>
      </c>
      <c r="C1342" t="str">
        <f>IF(DATA_INPUT!B765="","",DATA_INPUT!B765)</f>
        <v/>
      </c>
      <c r="D1342" t="str">
        <f>IF(DATA_INPUT!C765="","",DATA_INPUT!C765)</f>
        <v/>
      </c>
      <c r="E1342" s="27" t="str">
        <f>IF(DATA_INPUT!D765="","",DATA_INPUT!D765)</f>
        <v/>
      </c>
      <c r="F1342" t="str">
        <f t="shared" si="34"/>
        <v/>
      </c>
      <c r="G1342" t="str">
        <f t="shared" si="35"/>
        <v/>
      </c>
    </row>
    <row r="1343" spans="1:7">
      <c r="A1343" s="10" t="str">
        <f>IF(DATA_INPUT!A766="","",DATA_INPUT!A766)</f>
        <v/>
      </c>
      <c r="B1343" t="str">
        <f t="shared" si="33"/>
        <v/>
      </c>
      <c r="C1343" t="str">
        <f>IF(DATA_INPUT!B766="","",DATA_INPUT!B766)</f>
        <v/>
      </c>
      <c r="D1343" t="str">
        <f>IF(DATA_INPUT!C766="","",DATA_INPUT!C766)</f>
        <v/>
      </c>
      <c r="E1343" s="27" t="str">
        <f>IF(DATA_INPUT!D766="","",DATA_INPUT!D766)</f>
        <v/>
      </c>
      <c r="F1343" t="str">
        <f t="shared" si="34"/>
        <v/>
      </c>
      <c r="G1343" t="str">
        <f t="shared" si="35"/>
        <v/>
      </c>
    </row>
    <row r="1344" spans="1:7">
      <c r="A1344" s="10" t="str">
        <f>IF(DATA_INPUT!A767="","",DATA_INPUT!A767)</f>
        <v/>
      </c>
      <c r="B1344" t="str">
        <f t="shared" si="33"/>
        <v/>
      </c>
      <c r="C1344" t="str">
        <f>IF(DATA_INPUT!B767="","",DATA_INPUT!B767)</f>
        <v/>
      </c>
      <c r="D1344" t="str">
        <f>IF(DATA_INPUT!C767="","",DATA_INPUT!C767)</f>
        <v/>
      </c>
      <c r="E1344" s="27" t="str">
        <f>IF(DATA_INPUT!D767="","",DATA_INPUT!D767)</f>
        <v/>
      </c>
      <c r="F1344" t="str">
        <f t="shared" si="34"/>
        <v/>
      </c>
      <c r="G1344" t="str">
        <f t="shared" si="35"/>
        <v/>
      </c>
    </row>
    <row r="1345" spans="1:7">
      <c r="A1345" s="10" t="str">
        <f>IF(DATA_INPUT!A768="","",DATA_INPUT!A768)</f>
        <v/>
      </c>
      <c r="B1345" t="str">
        <f t="shared" si="33"/>
        <v/>
      </c>
      <c r="C1345" t="str">
        <f>IF(DATA_INPUT!B768="","",DATA_INPUT!B768)</f>
        <v/>
      </c>
      <c r="D1345" t="str">
        <f>IF(DATA_INPUT!C768="","",DATA_INPUT!C768)</f>
        <v/>
      </c>
      <c r="E1345" s="27" t="str">
        <f>IF(DATA_INPUT!D768="","",DATA_INPUT!D768)</f>
        <v/>
      </c>
      <c r="F1345" t="str">
        <f t="shared" si="34"/>
        <v/>
      </c>
      <c r="G1345" t="str">
        <f t="shared" si="35"/>
        <v/>
      </c>
    </row>
    <row r="1346" spans="1:7">
      <c r="A1346" s="10" t="str">
        <f>IF(DATA_INPUT!A769="","",DATA_INPUT!A769)</f>
        <v/>
      </c>
      <c r="B1346" t="str">
        <f t="shared" si="33"/>
        <v/>
      </c>
      <c r="C1346" t="str">
        <f>IF(DATA_INPUT!B769="","",DATA_INPUT!B769)</f>
        <v/>
      </c>
      <c r="D1346" t="str">
        <f>IF(DATA_INPUT!C769="","",DATA_INPUT!C769)</f>
        <v/>
      </c>
      <c r="E1346" s="27" t="str">
        <f>IF(DATA_INPUT!D769="","",DATA_INPUT!D769)</f>
        <v/>
      </c>
      <c r="F1346" t="str">
        <f t="shared" si="34"/>
        <v/>
      </c>
      <c r="G1346" t="str">
        <f t="shared" si="35"/>
        <v/>
      </c>
    </row>
    <row r="1347" spans="1:7">
      <c r="A1347" s="10" t="str">
        <f>IF(DATA_INPUT!A770="","",DATA_INPUT!A770)</f>
        <v/>
      </c>
      <c r="B1347" t="str">
        <f t="shared" si="33"/>
        <v/>
      </c>
      <c r="C1347" t="str">
        <f>IF(DATA_INPUT!B770="","",DATA_INPUT!B770)</f>
        <v/>
      </c>
      <c r="D1347" t="str">
        <f>IF(DATA_INPUT!C770="","",DATA_INPUT!C770)</f>
        <v/>
      </c>
      <c r="E1347" s="27" t="str">
        <f>IF(DATA_INPUT!D770="","",DATA_INPUT!D770)</f>
        <v/>
      </c>
      <c r="F1347" t="str">
        <f t="shared" si="34"/>
        <v/>
      </c>
      <c r="G1347" t="str">
        <f t="shared" si="35"/>
        <v/>
      </c>
    </row>
    <row r="1348" spans="1:7">
      <c r="A1348" s="10" t="str">
        <f>IF(DATA_INPUT!A771="","",DATA_INPUT!A771)</f>
        <v/>
      </c>
      <c r="B1348" t="str">
        <f t="shared" ref="B1348:B1411" si="36">IF(A1348="","",TEXT(A1348,"dddd"))</f>
        <v/>
      </c>
      <c r="C1348" t="str">
        <f>IF(DATA_INPUT!B771="","",DATA_INPUT!B771)</f>
        <v/>
      </c>
      <c r="D1348" t="str">
        <f>IF(DATA_INPUT!C771="","",DATA_INPUT!C771)</f>
        <v/>
      </c>
      <c r="E1348" s="27" t="str">
        <f>IF(DATA_INPUT!D771="","",DATA_INPUT!D771)</f>
        <v/>
      </c>
      <c r="F1348" t="str">
        <f t="shared" ref="F1348:F1411" si="37">IF(A1348="","",TEXT(A1348,"mmm yyyy"))</f>
        <v/>
      </c>
      <c r="G1348" t="str">
        <f t="shared" ref="G1348:G1411" si="38">IF(A1348="","",WEEKNUM(A1348))</f>
        <v/>
      </c>
    </row>
    <row r="1349" spans="1:7">
      <c r="A1349" s="10" t="str">
        <f>IF(DATA_INPUT!A772="","",DATA_INPUT!A772)</f>
        <v/>
      </c>
      <c r="B1349" t="str">
        <f t="shared" si="36"/>
        <v/>
      </c>
      <c r="C1349" t="str">
        <f>IF(DATA_INPUT!B772="","",DATA_INPUT!B772)</f>
        <v/>
      </c>
      <c r="D1349" t="str">
        <f>IF(DATA_INPUT!C772="","",DATA_INPUT!C772)</f>
        <v/>
      </c>
      <c r="E1349" s="27" t="str">
        <f>IF(DATA_INPUT!D772="","",DATA_INPUT!D772)</f>
        <v/>
      </c>
      <c r="F1349" t="str">
        <f t="shared" si="37"/>
        <v/>
      </c>
      <c r="G1349" t="str">
        <f t="shared" si="38"/>
        <v/>
      </c>
    </row>
    <row r="1350" spans="1:7">
      <c r="A1350" s="10" t="str">
        <f>IF(DATA_INPUT!A773="","",DATA_INPUT!A773)</f>
        <v/>
      </c>
      <c r="B1350" t="str">
        <f t="shared" si="36"/>
        <v/>
      </c>
      <c r="C1350" t="str">
        <f>IF(DATA_INPUT!B773="","",DATA_INPUT!B773)</f>
        <v/>
      </c>
      <c r="D1350" t="str">
        <f>IF(DATA_INPUT!C773="","",DATA_INPUT!C773)</f>
        <v/>
      </c>
      <c r="E1350" s="27" t="str">
        <f>IF(DATA_INPUT!D773="","",DATA_INPUT!D773)</f>
        <v/>
      </c>
      <c r="F1350" t="str">
        <f t="shared" si="37"/>
        <v/>
      </c>
      <c r="G1350" t="str">
        <f t="shared" si="38"/>
        <v/>
      </c>
    </row>
    <row r="1351" spans="1:7">
      <c r="A1351" s="10" t="str">
        <f>IF(DATA_INPUT!A774="","",DATA_INPUT!A774)</f>
        <v/>
      </c>
      <c r="B1351" t="str">
        <f t="shared" si="36"/>
        <v/>
      </c>
      <c r="C1351" t="str">
        <f>IF(DATA_INPUT!B774="","",DATA_INPUT!B774)</f>
        <v/>
      </c>
      <c r="D1351" t="str">
        <f>IF(DATA_INPUT!C774="","",DATA_INPUT!C774)</f>
        <v/>
      </c>
      <c r="E1351" s="27" t="str">
        <f>IF(DATA_INPUT!D774="","",DATA_INPUT!D774)</f>
        <v/>
      </c>
      <c r="F1351" t="str">
        <f t="shared" si="37"/>
        <v/>
      </c>
      <c r="G1351" t="str">
        <f t="shared" si="38"/>
        <v/>
      </c>
    </row>
    <row r="1352" spans="1:7">
      <c r="A1352" s="10" t="str">
        <f>IF(DATA_INPUT!A775="","",DATA_INPUT!A775)</f>
        <v/>
      </c>
      <c r="B1352" t="str">
        <f t="shared" si="36"/>
        <v/>
      </c>
      <c r="C1352" t="str">
        <f>IF(DATA_INPUT!B775="","",DATA_INPUT!B775)</f>
        <v/>
      </c>
      <c r="D1352" t="str">
        <f>IF(DATA_INPUT!C775="","",DATA_INPUT!C775)</f>
        <v/>
      </c>
      <c r="E1352" s="27" t="str">
        <f>IF(DATA_INPUT!D775="","",DATA_INPUT!D775)</f>
        <v/>
      </c>
      <c r="F1352" t="str">
        <f t="shared" si="37"/>
        <v/>
      </c>
      <c r="G1352" t="str">
        <f t="shared" si="38"/>
        <v/>
      </c>
    </row>
    <row r="1353" spans="1:7">
      <c r="A1353" s="10" t="str">
        <f>IF(DATA_INPUT!A776="","",DATA_INPUT!A776)</f>
        <v/>
      </c>
      <c r="B1353" t="str">
        <f t="shared" si="36"/>
        <v/>
      </c>
      <c r="C1353" t="str">
        <f>IF(DATA_INPUT!B776="","",DATA_INPUT!B776)</f>
        <v/>
      </c>
      <c r="D1353" t="str">
        <f>IF(DATA_INPUT!C776="","",DATA_INPUT!C776)</f>
        <v/>
      </c>
      <c r="E1353" s="27" t="str">
        <f>IF(DATA_INPUT!D776="","",DATA_INPUT!D776)</f>
        <v/>
      </c>
      <c r="F1353" t="str">
        <f t="shared" si="37"/>
        <v/>
      </c>
      <c r="G1353" t="str">
        <f t="shared" si="38"/>
        <v/>
      </c>
    </row>
    <row r="1354" spans="1:7">
      <c r="A1354" s="10" t="str">
        <f>IF(DATA_INPUT!A777="","",DATA_INPUT!A777)</f>
        <v/>
      </c>
      <c r="B1354" t="str">
        <f t="shared" si="36"/>
        <v/>
      </c>
      <c r="C1354" t="str">
        <f>IF(DATA_INPUT!B777="","",DATA_INPUT!B777)</f>
        <v/>
      </c>
      <c r="D1354" t="str">
        <f>IF(DATA_INPUT!C777="","",DATA_INPUT!C777)</f>
        <v/>
      </c>
      <c r="E1354" s="27" t="str">
        <f>IF(DATA_INPUT!D777="","",DATA_INPUT!D777)</f>
        <v/>
      </c>
      <c r="F1354" t="str">
        <f t="shared" si="37"/>
        <v/>
      </c>
      <c r="G1354" t="str">
        <f t="shared" si="38"/>
        <v/>
      </c>
    </row>
    <row r="1355" spans="1:7">
      <c r="A1355" s="10" t="str">
        <f>IF(DATA_INPUT!A778="","",DATA_INPUT!A778)</f>
        <v/>
      </c>
      <c r="B1355" t="str">
        <f t="shared" si="36"/>
        <v/>
      </c>
      <c r="C1355" t="str">
        <f>IF(DATA_INPUT!B778="","",DATA_INPUT!B778)</f>
        <v/>
      </c>
      <c r="D1355" t="str">
        <f>IF(DATA_INPUT!C778="","",DATA_INPUT!C778)</f>
        <v/>
      </c>
      <c r="E1355" s="27" t="str">
        <f>IF(DATA_INPUT!D778="","",DATA_INPUT!D778)</f>
        <v/>
      </c>
      <c r="F1355" t="str">
        <f t="shared" si="37"/>
        <v/>
      </c>
      <c r="G1355" t="str">
        <f t="shared" si="38"/>
        <v/>
      </c>
    </row>
    <row r="1356" spans="1:7">
      <c r="A1356" s="10" t="str">
        <f>IF(DATA_INPUT!A779="","",DATA_INPUT!A779)</f>
        <v/>
      </c>
      <c r="B1356" t="str">
        <f t="shared" si="36"/>
        <v/>
      </c>
      <c r="C1356" t="str">
        <f>IF(DATA_INPUT!B779="","",DATA_INPUT!B779)</f>
        <v/>
      </c>
      <c r="D1356" t="str">
        <f>IF(DATA_INPUT!C779="","",DATA_INPUT!C779)</f>
        <v/>
      </c>
      <c r="E1356" s="27" t="str">
        <f>IF(DATA_INPUT!D779="","",DATA_INPUT!D779)</f>
        <v/>
      </c>
      <c r="F1356" t="str">
        <f t="shared" si="37"/>
        <v/>
      </c>
      <c r="G1356" t="str">
        <f t="shared" si="38"/>
        <v/>
      </c>
    </row>
    <row r="1357" spans="1:7">
      <c r="A1357" s="10" t="str">
        <f>IF(DATA_INPUT!A780="","",DATA_INPUT!A780)</f>
        <v/>
      </c>
      <c r="B1357" t="str">
        <f t="shared" si="36"/>
        <v/>
      </c>
      <c r="C1357" t="str">
        <f>IF(DATA_INPUT!B780="","",DATA_INPUT!B780)</f>
        <v/>
      </c>
      <c r="D1357" t="str">
        <f>IF(DATA_INPUT!C780="","",DATA_INPUT!C780)</f>
        <v/>
      </c>
      <c r="E1357" s="27" t="str">
        <f>IF(DATA_INPUT!D780="","",DATA_INPUT!D780)</f>
        <v/>
      </c>
      <c r="F1357" t="str">
        <f t="shared" si="37"/>
        <v/>
      </c>
      <c r="G1357" t="str">
        <f t="shared" si="38"/>
        <v/>
      </c>
    </row>
    <row r="1358" spans="1:7">
      <c r="A1358" s="10" t="str">
        <f>IF(DATA_INPUT!A781="","",DATA_INPUT!A781)</f>
        <v/>
      </c>
      <c r="B1358" t="str">
        <f t="shared" si="36"/>
        <v/>
      </c>
      <c r="C1358" t="str">
        <f>IF(DATA_INPUT!B781="","",DATA_INPUT!B781)</f>
        <v/>
      </c>
      <c r="D1358" t="str">
        <f>IF(DATA_INPUT!C781="","",DATA_INPUT!C781)</f>
        <v/>
      </c>
      <c r="E1358" s="27" t="str">
        <f>IF(DATA_INPUT!D781="","",DATA_INPUT!D781)</f>
        <v/>
      </c>
      <c r="F1358" t="str">
        <f t="shared" si="37"/>
        <v/>
      </c>
      <c r="G1358" t="str">
        <f t="shared" si="38"/>
        <v/>
      </c>
    </row>
    <row r="1359" spans="1:7">
      <c r="A1359" s="10" t="str">
        <f>IF(DATA_INPUT!A782="","",DATA_INPUT!A782)</f>
        <v/>
      </c>
      <c r="B1359" t="str">
        <f t="shared" si="36"/>
        <v/>
      </c>
      <c r="C1359" t="str">
        <f>IF(DATA_INPUT!B782="","",DATA_INPUT!B782)</f>
        <v/>
      </c>
      <c r="D1359" t="str">
        <f>IF(DATA_INPUT!C782="","",DATA_INPUT!C782)</f>
        <v/>
      </c>
      <c r="E1359" s="27" t="str">
        <f>IF(DATA_INPUT!D782="","",DATA_INPUT!D782)</f>
        <v/>
      </c>
      <c r="F1359" t="str">
        <f t="shared" si="37"/>
        <v/>
      </c>
      <c r="G1359" t="str">
        <f t="shared" si="38"/>
        <v/>
      </c>
    </row>
    <row r="1360" spans="1:7">
      <c r="A1360" s="10" t="str">
        <f>IF(DATA_INPUT!A783="","",DATA_INPUT!A783)</f>
        <v/>
      </c>
      <c r="B1360" t="str">
        <f t="shared" si="36"/>
        <v/>
      </c>
      <c r="C1360" t="str">
        <f>IF(DATA_INPUT!B783="","",DATA_INPUT!B783)</f>
        <v/>
      </c>
      <c r="D1360" t="str">
        <f>IF(DATA_INPUT!C783="","",DATA_INPUT!C783)</f>
        <v/>
      </c>
      <c r="E1360" s="27" t="str">
        <f>IF(DATA_INPUT!D783="","",DATA_INPUT!D783)</f>
        <v/>
      </c>
      <c r="F1360" t="str">
        <f t="shared" si="37"/>
        <v/>
      </c>
      <c r="G1360" t="str">
        <f t="shared" si="38"/>
        <v/>
      </c>
    </row>
    <row r="1361" spans="1:7">
      <c r="A1361" s="10" t="str">
        <f>IF(DATA_INPUT!A784="","",DATA_INPUT!A784)</f>
        <v/>
      </c>
      <c r="B1361" t="str">
        <f t="shared" si="36"/>
        <v/>
      </c>
      <c r="C1361" t="str">
        <f>IF(DATA_INPUT!B784="","",DATA_INPUT!B784)</f>
        <v/>
      </c>
      <c r="D1361" t="str">
        <f>IF(DATA_INPUT!C784="","",DATA_INPUT!C784)</f>
        <v/>
      </c>
      <c r="E1361" s="27" t="str">
        <f>IF(DATA_INPUT!D784="","",DATA_INPUT!D784)</f>
        <v/>
      </c>
      <c r="F1361" t="str">
        <f t="shared" si="37"/>
        <v/>
      </c>
      <c r="G1361" t="str">
        <f t="shared" si="38"/>
        <v/>
      </c>
    </row>
    <row r="1362" spans="1:7">
      <c r="A1362" s="10" t="str">
        <f>IF(DATA_INPUT!A785="","",DATA_INPUT!A785)</f>
        <v/>
      </c>
      <c r="B1362" t="str">
        <f t="shared" si="36"/>
        <v/>
      </c>
      <c r="C1362" t="str">
        <f>IF(DATA_INPUT!B785="","",DATA_INPUT!B785)</f>
        <v/>
      </c>
      <c r="D1362" t="str">
        <f>IF(DATA_INPUT!C785="","",DATA_INPUT!C785)</f>
        <v/>
      </c>
      <c r="E1362" s="27" t="str">
        <f>IF(DATA_INPUT!D785="","",DATA_INPUT!D785)</f>
        <v/>
      </c>
      <c r="F1362" t="str">
        <f t="shared" si="37"/>
        <v/>
      </c>
      <c r="G1362" t="str">
        <f t="shared" si="38"/>
        <v/>
      </c>
    </row>
    <row r="1363" spans="1:7">
      <c r="A1363" s="10" t="str">
        <f>IF(DATA_INPUT!A786="","",DATA_INPUT!A786)</f>
        <v/>
      </c>
      <c r="B1363" t="str">
        <f t="shared" si="36"/>
        <v/>
      </c>
      <c r="C1363" t="str">
        <f>IF(DATA_INPUT!B786="","",DATA_INPUT!B786)</f>
        <v/>
      </c>
      <c r="D1363" t="str">
        <f>IF(DATA_INPUT!C786="","",DATA_INPUT!C786)</f>
        <v/>
      </c>
      <c r="E1363" s="27" t="str">
        <f>IF(DATA_INPUT!D786="","",DATA_INPUT!D786)</f>
        <v/>
      </c>
      <c r="F1363" t="str">
        <f t="shared" si="37"/>
        <v/>
      </c>
      <c r="G1363" t="str">
        <f t="shared" si="38"/>
        <v/>
      </c>
    </row>
    <row r="1364" spans="1:7">
      <c r="A1364" s="10" t="str">
        <f>IF(DATA_INPUT!A787="","",DATA_INPUT!A787)</f>
        <v/>
      </c>
      <c r="B1364" t="str">
        <f t="shared" si="36"/>
        <v/>
      </c>
      <c r="C1364" t="str">
        <f>IF(DATA_INPUT!B787="","",DATA_INPUT!B787)</f>
        <v/>
      </c>
      <c r="D1364" t="str">
        <f>IF(DATA_INPUT!C787="","",DATA_INPUT!C787)</f>
        <v/>
      </c>
      <c r="E1364" s="27" t="str">
        <f>IF(DATA_INPUT!D787="","",DATA_INPUT!D787)</f>
        <v/>
      </c>
      <c r="F1364" t="str">
        <f t="shared" si="37"/>
        <v/>
      </c>
      <c r="G1364" t="str">
        <f t="shared" si="38"/>
        <v/>
      </c>
    </row>
    <row r="1365" spans="1:7">
      <c r="A1365" s="10" t="str">
        <f>IF(DATA_INPUT!A788="","",DATA_INPUT!A788)</f>
        <v/>
      </c>
      <c r="B1365" t="str">
        <f t="shared" si="36"/>
        <v/>
      </c>
      <c r="C1365" t="str">
        <f>IF(DATA_INPUT!B788="","",DATA_INPUT!B788)</f>
        <v/>
      </c>
      <c r="D1365" t="str">
        <f>IF(DATA_INPUT!C788="","",DATA_INPUT!C788)</f>
        <v/>
      </c>
      <c r="E1365" s="27" t="str">
        <f>IF(DATA_INPUT!D788="","",DATA_INPUT!D788)</f>
        <v/>
      </c>
      <c r="F1365" t="str">
        <f t="shared" si="37"/>
        <v/>
      </c>
      <c r="G1365" t="str">
        <f t="shared" si="38"/>
        <v/>
      </c>
    </row>
    <row r="1366" spans="1:7">
      <c r="A1366" s="10" t="str">
        <f>IF(DATA_INPUT!A789="","",DATA_INPUT!A789)</f>
        <v/>
      </c>
      <c r="B1366" t="str">
        <f t="shared" si="36"/>
        <v/>
      </c>
      <c r="C1366" t="str">
        <f>IF(DATA_INPUT!B789="","",DATA_INPUT!B789)</f>
        <v/>
      </c>
      <c r="D1366" t="str">
        <f>IF(DATA_INPUT!C789="","",DATA_INPUT!C789)</f>
        <v/>
      </c>
      <c r="E1366" s="27" t="str">
        <f>IF(DATA_INPUT!D789="","",DATA_INPUT!D789)</f>
        <v/>
      </c>
      <c r="F1366" t="str">
        <f t="shared" si="37"/>
        <v/>
      </c>
      <c r="G1366" t="str">
        <f t="shared" si="38"/>
        <v/>
      </c>
    </row>
    <row r="1367" spans="1:7">
      <c r="A1367" s="10" t="str">
        <f>IF(DATA_INPUT!A790="","",DATA_INPUT!A790)</f>
        <v/>
      </c>
      <c r="B1367" t="str">
        <f t="shared" si="36"/>
        <v/>
      </c>
      <c r="C1367" t="str">
        <f>IF(DATA_INPUT!B790="","",DATA_INPUT!B790)</f>
        <v/>
      </c>
      <c r="D1367" t="str">
        <f>IF(DATA_INPUT!C790="","",DATA_INPUT!C790)</f>
        <v/>
      </c>
      <c r="E1367" s="27" t="str">
        <f>IF(DATA_INPUT!D790="","",DATA_INPUT!D790)</f>
        <v/>
      </c>
      <c r="F1367" t="str">
        <f t="shared" si="37"/>
        <v/>
      </c>
      <c r="G1367" t="str">
        <f t="shared" si="38"/>
        <v/>
      </c>
    </row>
    <row r="1368" spans="1:7">
      <c r="A1368" s="10" t="str">
        <f>IF(DATA_INPUT!A791="","",DATA_INPUT!A791)</f>
        <v/>
      </c>
      <c r="B1368" t="str">
        <f t="shared" si="36"/>
        <v/>
      </c>
      <c r="C1368" t="str">
        <f>IF(DATA_INPUT!B791="","",DATA_INPUT!B791)</f>
        <v/>
      </c>
      <c r="D1368" t="str">
        <f>IF(DATA_INPUT!C791="","",DATA_INPUT!C791)</f>
        <v/>
      </c>
      <c r="E1368" s="27" t="str">
        <f>IF(DATA_INPUT!D791="","",DATA_INPUT!D791)</f>
        <v/>
      </c>
      <c r="F1368" t="str">
        <f t="shared" si="37"/>
        <v/>
      </c>
      <c r="G1368" t="str">
        <f t="shared" si="38"/>
        <v/>
      </c>
    </row>
    <row r="1369" spans="1:7">
      <c r="A1369" s="10" t="str">
        <f>IF(DATA_INPUT!A792="","",DATA_INPUT!A792)</f>
        <v/>
      </c>
      <c r="B1369" t="str">
        <f t="shared" si="36"/>
        <v/>
      </c>
      <c r="C1369" t="str">
        <f>IF(DATA_INPUT!B792="","",DATA_INPUT!B792)</f>
        <v/>
      </c>
      <c r="D1369" t="str">
        <f>IF(DATA_INPUT!C792="","",DATA_INPUT!C792)</f>
        <v/>
      </c>
      <c r="E1369" s="27" t="str">
        <f>IF(DATA_INPUT!D792="","",DATA_INPUT!D792)</f>
        <v/>
      </c>
      <c r="F1369" t="str">
        <f t="shared" si="37"/>
        <v/>
      </c>
      <c r="G1369" t="str">
        <f t="shared" si="38"/>
        <v/>
      </c>
    </row>
    <row r="1370" spans="1:7">
      <c r="A1370" s="10" t="str">
        <f>IF(DATA_INPUT!A793="","",DATA_INPUT!A793)</f>
        <v/>
      </c>
      <c r="B1370" t="str">
        <f t="shared" si="36"/>
        <v/>
      </c>
      <c r="C1370" t="str">
        <f>IF(DATA_INPUT!B793="","",DATA_INPUT!B793)</f>
        <v/>
      </c>
      <c r="D1370" t="str">
        <f>IF(DATA_INPUT!C793="","",DATA_INPUT!C793)</f>
        <v/>
      </c>
      <c r="E1370" s="27" t="str">
        <f>IF(DATA_INPUT!D793="","",DATA_INPUT!D793)</f>
        <v/>
      </c>
      <c r="F1370" t="str">
        <f t="shared" si="37"/>
        <v/>
      </c>
      <c r="G1370" t="str">
        <f t="shared" si="38"/>
        <v/>
      </c>
    </row>
    <row r="1371" spans="1:7">
      <c r="A1371" s="10" t="str">
        <f>IF(DATA_INPUT!A794="","",DATA_INPUT!A794)</f>
        <v/>
      </c>
      <c r="B1371" t="str">
        <f t="shared" si="36"/>
        <v/>
      </c>
      <c r="C1371" t="str">
        <f>IF(DATA_INPUT!B794="","",DATA_INPUT!B794)</f>
        <v/>
      </c>
      <c r="D1371" t="str">
        <f>IF(DATA_INPUT!C794="","",DATA_INPUT!C794)</f>
        <v/>
      </c>
      <c r="E1371" s="27" t="str">
        <f>IF(DATA_INPUT!D794="","",DATA_INPUT!D794)</f>
        <v/>
      </c>
      <c r="F1371" t="str">
        <f t="shared" si="37"/>
        <v/>
      </c>
      <c r="G1371" t="str">
        <f t="shared" si="38"/>
        <v/>
      </c>
    </row>
    <row r="1372" spans="1:7">
      <c r="A1372" s="10" t="str">
        <f>IF(DATA_INPUT!A795="","",DATA_INPUT!A795)</f>
        <v/>
      </c>
      <c r="B1372" t="str">
        <f t="shared" si="36"/>
        <v/>
      </c>
      <c r="C1372" t="str">
        <f>IF(DATA_INPUT!B795="","",DATA_INPUT!B795)</f>
        <v/>
      </c>
      <c r="D1372" t="str">
        <f>IF(DATA_INPUT!C795="","",DATA_INPUT!C795)</f>
        <v/>
      </c>
      <c r="E1372" s="27" t="str">
        <f>IF(DATA_INPUT!D795="","",DATA_INPUT!D795)</f>
        <v/>
      </c>
      <c r="F1372" t="str">
        <f t="shared" si="37"/>
        <v/>
      </c>
      <c r="G1372" t="str">
        <f t="shared" si="38"/>
        <v/>
      </c>
    </row>
    <row r="1373" spans="1:7">
      <c r="A1373" s="10" t="str">
        <f>IF(DATA_INPUT!A796="","",DATA_INPUT!A796)</f>
        <v/>
      </c>
      <c r="B1373" t="str">
        <f t="shared" si="36"/>
        <v/>
      </c>
      <c r="C1373" t="str">
        <f>IF(DATA_INPUT!B796="","",DATA_INPUT!B796)</f>
        <v/>
      </c>
      <c r="D1373" t="str">
        <f>IF(DATA_INPUT!C796="","",DATA_INPUT!C796)</f>
        <v/>
      </c>
      <c r="E1373" s="27" t="str">
        <f>IF(DATA_INPUT!D796="","",DATA_INPUT!D796)</f>
        <v/>
      </c>
      <c r="F1373" t="str">
        <f t="shared" si="37"/>
        <v/>
      </c>
      <c r="G1373" t="str">
        <f t="shared" si="38"/>
        <v/>
      </c>
    </row>
    <row r="1374" spans="1:7">
      <c r="A1374" s="10" t="str">
        <f>IF(DATA_INPUT!A797="","",DATA_INPUT!A797)</f>
        <v/>
      </c>
      <c r="B1374" t="str">
        <f t="shared" si="36"/>
        <v/>
      </c>
      <c r="C1374" t="str">
        <f>IF(DATA_INPUT!B797="","",DATA_INPUT!B797)</f>
        <v/>
      </c>
      <c r="D1374" t="str">
        <f>IF(DATA_INPUT!C797="","",DATA_INPUT!C797)</f>
        <v/>
      </c>
      <c r="E1374" s="27" t="str">
        <f>IF(DATA_INPUT!D797="","",DATA_INPUT!D797)</f>
        <v/>
      </c>
      <c r="F1374" t="str">
        <f t="shared" si="37"/>
        <v/>
      </c>
      <c r="G1374" t="str">
        <f t="shared" si="38"/>
        <v/>
      </c>
    </row>
    <row r="1375" spans="1:7">
      <c r="A1375" s="10" t="str">
        <f>IF(DATA_INPUT!A798="","",DATA_INPUT!A798)</f>
        <v/>
      </c>
      <c r="B1375" t="str">
        <f t="shared" si="36"/>
        <v/>
      </c>
      <c r="C1375" t="str">
        <f>IF(DATA_INPUT!B798="","",DATA_INPUT!B798)</f>
        <v/>
      </c>
      <c r="D1375" t="str">
        <f>IF(DATA_INPUT!C798="","",DATA_INPUT!C798)</f>
        <v/>
      </c>
      <c r="E1375" s="27" t="str">
        <f>IF(DATA_INPUT!D798="","",DATA_INPUT!D798)</f>
        <v/>
      </c>
      <c r="F1375" t="str">
        <f t="shared" si="37"/>
        <v/>
      </c>
      <c r="G1375" t="str">
        <f t="shared" si="38"/>
        <v/>
      </c>
    </row>
    <row r="1376" spans="1:7">
      <c r="A1376" s="10" t="str">
        <f>IF(DATA_INPUT!A799="","",DATA_INPUT!A799)</f>
        <v/>
      </c>
      <c r="B1376" t="str">
        <f t="shared" si="36"/>
        <v/>
      </c>
      <c r="C1376" t="str">
        <f>IF(DATA_INPUT!B799="","",DATA_INPUT!B799)</f>
        <v/>
      </c>
      <c r="D1376" t="str">
        <f>IF(DATA_INPUT!C799="","",DATA_INPUT!C799)</f>
        <v/>
      </c>
      <c r="E1376" s="27" t="str">
        <f>IF(DATA_INPUT!D799="","",DATA_INPUT!D799)</f>
        <v/>
      </c>
      <c r="F1376" t="str">
        <f t="shared" si="37"/>
        <v/>
      </c>
      <c r="G1376" t="str">
        <f t="shared" si="38"/>
        <v/>
      </c>
    </row>
    <row r="1377" spans="1:7">
      <c r="A1377" s="10" t="str">
        <f>IF(DATA_INPUT!A800="","",DATA_INPUT!A800)</f>
        <v/>
      </c>
      <c r="B1377" t="str">
        <f t="shared" si="36"/>
        <v/>
      </c>
      <c r="C1377" t="str">
        <f>IF(DATA_INPUT!B800="","",DATA_INPUT!B800)</f>
        <v/>
      </c>
      <c r="D1377" t="str">
        <f>IF(DATA_INPUT!C800="","",DATA_INPUT!C800)</f>
        <v/>
      </c>
      <c r="E1377" s="27" t="str">
        <f>IF(DATA_INPUT!D800="","",DATA_INPUT!D800)</f>
        <v/>
      </c>
      <c r="F1377" t="str">
        <f t="shared" si="37"/>
        <v/>
      </c>
      <c r="G1377" t="str">
        <f t="shared" si="38"/>
        <v/>
      </c>
    </row>
    <row r="1378" spans="1:7">
      <c r="A1378" s="10" t="str">
        <f>IF(DATA_INPUT!A801="","",DATA_INPUT!A801)</f>
        <v/>
      </c>
      <c r="B1378" t="str">
        <f t="shared" si="36"/>
        <v/>
      </c>
      <c r="C1378" t="str">
        <f>IF(DATA_INPUT!B801="","",DATA_INPUT!B801)</f>
        <v/>
      </c>
      <c r="D1378" t="str">
        <f>IF(DATA_INPUT!C801="","",DATA_INPUT!C801)</f>
        <v/>
      </c>
      <c r="E1378" s="27" t="str">
        <f>IF(DATA_INPUT!D801="","",DATA_INPUT!D801)</f>
        <v/>
      </c>
      <c r="F1378" t="str">
        <f t="shared" si="37"/>
        <v/>
      </c>
      <c r="G1378" t="str">
        <f t="shared" si="38"/>
        <v/>
      </c>
    </row>
    <row r="1379" spans="1:7">
      <c r="A1379" s="10" t="str">
        <f>IF(DATA_INPUT!A802="","",DATA_INPUT!A802)</f>
        <v/>
      </c>
      <c r="B1379" t="str">
        <f t="shared" si="36"/>
        <v/>
      </c>
      <c r="C1379" t="str">
        <f>IF(DATA_INPUT!B802="","",DATA_INPUT!B802)</f>
        <v/>
      </c>
      <c r="D1379" t="str">
        <f>IF(DATA_INPUT!C802="","",DATA_INPUT!C802)</f>
        <v/>
      </c>
      <c r="E1379" s="27" t="str">
        <f>IF(DATA_INPUT!D802="","",DATA_INPUT!D802)</f>
        <v/>
      </c>
      <c r="F1379" t="str">
        <f t="shared" si="37"/>
        <v/>
      </c>
      <c r="G1379" t="str">
        <f t="shared" si="38"/>
        <v/>
      </c>
    </row>
    <row r="1380" spans="1:7">
      <c r="A1380" s="10" t="str">
        <f>IF(DATA_INPUT!A803="","",DATA_INPUT!A803)</f>
        <v/>
      </c>
      <c r="B1380" t="str">
        <f t="shared" si="36"/>
        <v/>
      </c>
      <c r="C1380" t="str">
        <f>IF(DATA_INPUT!B803="","",DATA_INPUT!B803)</f>
        <v/>
      </c>
      <c r="D1380" t="str">
        <f>IF(DATA_INPUT!C803="","",DATA_INPUT!C803)</f>
        <v/>
      </c>
      <c r="E1380" s="27" t="str">
        <f>IF(DATA_INPUT!D803="","",DATA_INPUT!D803)</f>
        <v/>
      </c>
      <c r="F1380" t="str">
        <f t="shared" si="37"/>
        <v/>
      </c>
      <c r="G1380" t="str">
        <f t="shared" si="38"/>
        <v/>
      </c>
    </row>
    <row r="1381" spans="1:7">
      <c r="A1381" s="10" t="str">
        <f>IF(DATA_INPUT!A804="","",DATA_INPUT!A804)</f>
        <v/>
      </c>
      <c r="B1381" t="str">
        <f t="shared" si="36"/>
        <v/>
      </c>
      <c r="C1381" t="str">
        <f>IF(DATA_INPUT!B804="","",DATA_INPUT!B804)</f>
        <v/>
      </c>
      <c r="D1381" t="str">
        <f>IF(DATA_INPUT!C804="","",DATA_INPUT!C804)</f>
        <v/>
      </c>
      <c r="E1381" s="27" t="str">
        <f>IF(DATA_INPUT!D804="","",DATA_INPUT!D804)</f>
        <v/>
      </c>
      <c r="F1381" t="str">
        <f t="shared" si="37"/>
        <v/>
      </c>
      <c r="G1381" t="str">
        <f t="shared" si="38"/>
        <v/>
      </c>
    </row>
    <row r="1382" spans="1:7">
      <c r="A1382" s="10" t="str">
        <f>IF(DATA_INPUT!A805="","",DATA_INPUT!A805)</f>
        <v/>
      </c>
      <c r="B1382" t="str">
        <f t="shared" si="36"/>
        <v/>
      </c>
      <c r="C1382" t="str">
        <f>IF(DATA_INPUT!B805="","",DATA_INPUT!B805)</f>
        <v/>
      </c>
      <c r="D1382" t="str">
        <f>IF(DATA_INPUT!C805="","",DATA_INPUT!C805)</f>
        <v/>
      </c>
      <c r="E1382" s="27" t="str">
        <f>IF(DATA_INPUT!D805="","",DATA_INPUT!D805)</f>
        <v/>
      </c>
      <c r="F1382" t="str">
        <f t="shared" si="37"/>
        <v/>
      </c>
      <c r="G1382" t="str">
        <f t="shared" si="38"/>
        <v/>
      </c>
    </row>
    <row r="1383" spans="1:7">
      <c r="A1383" s="10" t="str">
        <f>IF(DATA_INPUT!A806="","",DATA_INPUT!A806)</f>
        <v/>
      </c>
      <c r="B1383" t="str">
        <f t="shared" si="36"/>
        <v/>
      </c>
      <c r="C1383" t="str">
        <f>IF(DATA_INPUT!B806="","",DATA_INPUT!B806)</f>
        <v/>
      </c>
      <c r="D1383" t="str">
        <f>IF(DATA_INPUT!C806="","",DATA_INPUT!C806)</f>
        <v/>
      </c>
      <c r="E1383" s="27" t="str">
        <f>IF(DATA_INPUT!D806="","",DATA_INPUT!D806)</f>
        <v/>
      </c>
      <c r="F1383" t="str">
        <f t="shared" si="37"/>
        <v/>
      </c>
      <c r="G1383" t="str">
        <f t="shared" si="38"/>
        <v/>
      </c>
    </row>
    <row r="1384" spans="1:7">
      <c r="A1384" s="10" t="str">
        <f>IF(DATA_INPUT!A807="","",DATA_INPUT!A807)</f>
        <v/>
      </c>
      <c r="B1384" t="str">
        <f t="shared" si="36"/>
        <v/>
      </c>
      <c r="C1384" t="str">
        <f>IF(DATA_INPUT!B807="","",DATA_INPUT!B807)</f>
        <v/>
      </c>
      <c r="D1384" t="str">
        <f>IF(DATA_INPUT!C807="","",DATA_INPUT!C807)</f>
        <v/>
      </c>
      <c r="E1384" s="27" t="str">
        <f>IF(DATA_INPUT!D807="","",DATA_INPUT!D807)</f>
        <v/>
      </c>
      <c r="F1384" t="str">
        <f t="shared" si="37"/>
        <v/>
      </c>
      <c r="G1384" t="str">
        <f t="shared" si="38"/>
        <v/>
      </c>
    </row>
    <row r="1385" spans="1:7">
      <c r="A1385" s="10" t="str">
        <f>IF(DATA_INPUT!A808="","",DATA_INPUT!A808)</f>
        <v/>
      </c>
      <c r="B1385" t="str">
        <f t="shared" si="36"/>
        <v/>
      </c>
      <c r="C1385" t="str">
        <f>IF(DATA_INPUT!B808="","",DATA_INPUT!B808)</f>
        <v/>
      </c>
      <c r="D1385" t="str">
        <f>IF(DATA_INPUT!C808="","",DATA_INPUT!C808)</f>
        <v/>
      </c>
      <c r="E1385" s="27" t="str">
        <f>IF(DATA_INPUT!D808="","",DATA_INPUT!D808)</f>
        <v/>
      </c>
      <c r="F1385" t="str">
        <f t="shared" si="37"/>
        <v/>
      </c>
      <c r="G1385" t="str">
        <f t="shared" si="38"/>
        <v/>
      </c>
    </row>
    <row r="1386" spans="1:7">
      <c r="A1386" s="10" t="str">
        <f>IF(DATA_INPUT!A809="","",DATA_INPUT!A809)</f>
        <v/>
      </c>
      <c r="B1386" t="str">
        <f t="shared" si="36"/>
        <v/>
      </c>
      <c r="C1386" t="str">
        <f>IF(DATA_INPUT!B809="","",DATA_INPUT!B809)</f>
        <v/>
      </c>
      <c r="D1386" t="str">
        <f>IF(DATA_INPUT!C809="","",DATA_INPUT!C809)</f>
        <v/>
      </c>
      <c r="E1386" s="27" t="str">
        <f>IF(DATA_INPUT!D809="","",DATA_INPUT!D809)</f>
        <v/>
      </c>
      <c r="F1386" t="str">
        <f t="shared" si="37"/>
        <v/>
      </c>
      <c r="G1386" t="str">
        <f t="shared" si="38"/>
        <v/>
      </c>
    </row>
    <row r="1387" spans="1:7">
      <c r="A1387" s="10" t="str">
        <f>IF(DATA_INPUT!A810="","",DATA_INPUT!A810)</f>
        <v/>
      </c>
      <c r="B1387" t="str">
        <f t="shared" si="36"/>
        <v/>
      </c>
      <c r="C1387" t="str">
        <f>IF(DATA_INPUT!B810="","",DATA_INPUT!B810)</f>
        <v/>
      </c>
      <c r="D1387" t="str">
        <f>IF(DATA_INPUT!C810="","",DATA_INPUT!C810)</f>
        <v/>
      </c>
      <c r="E1387" s="27" t="str">
        <f>IF(DATA_INPUT!D810="","",DATA_INPUT!D810)</f>
        <v/>
      </c>
      <c r="F1387" t="str">
        <f t="shared" si="37"/>
        <v/>
      </c>
      <c r="G1387" t="str">
        <f t="shared" si="38"/>
        <v/>
      </c>
    </row>
    <row r="1388" spans="1:7">
      <c r="A1388" s="10" t="str">
        <f>IF(DATA_INPUT!A811="","",DATA_INPUT!A811)</f>
        <v/>
      </c>
      <c r="B1388" t="str">
        <f t="shared" si="36"/>
        <v/>
      </c>
      <c r="C1388" t="str">
        <f>IF(DATA_INPUT!B811="","",DATA_INPUT!B811)</f>
        <v/>
      </c>
      <c r="D1388" t="str">
        <f>IF(DATA_INPUT!C811="","",DATA_INPUT!C811)</f>
        <v/>
      </c>
      <c r="E1388" s="27" t="str">
        <f>IF(DATA_INPUT!D811="","",DATA_INPUT!D811)</f>
        <v/>
      </c>
      <c r="F1388" t="str">
        <f t="shared" si="37"/>
        <v/>
      </c>
      <c r="G1388" t="str">
        <f t="shared" si="38"/>
        <v/>
      </c>
    </row>
    <row r="1389" spans="1:7">
      <c r="A1389" s="10" t="str">
        <f>IF(DATA_INPUT!A812="","",DATA_INPUT!A812)</f>
        <v/>
      </c>
      <c r="B1389" t="str">
        <f t="shared" si="36"/>
        <v/>
      </c>
      <c r="C1389" t="str">
        <f>IF(DATA_INPUT!B812="","",DATA_INPUT!B812)</f>
        <v/>
      </c>
      <c r="D1389" t="str">
        <f>IF(DATA_INPUT!C812="","",DATA_INPUT!C812)</f>
        <v/>
      </c>
      <c r="E1389" s="27" t="str">
        <f>IF(DATA_INPUT!D812="","",DATA_INPUT!D812)</f>
        <v/>
      </c>
      <c r="F1389" t="str">
        <f t="shared" si="37"/>
        <v/>
      </c>
      <c r="G1389" t="str">
        <f t="shared" si="38"/>
        <v/>
      </c>
    </row>
    <row r="1390" spans="1:7">
      <c r="A1390" s="10" t="str">
        <f>IF(DATA_INPUT!A813="","",DATA_INPUT!A813)</f>
        <v/>
      </c>
      <c r="B1390" t="str">
        <f t="shared" si="36"/>
        <v/>
      </c>
      <c r="C1390" t="str">
        <f>IF(DATA_INPUT!B813="","",DATA_INPUT!B813)</f>
        <v/>
      </c>
      <c r="D1390" t="str">
        <f>IF(DATA_INPUT!C813="","",DATA_INPUT!C813)</f>
        <v/>
      </c>
      <c r="E1390" s="27" t="str">
        <f>IF(DATA_INPUT!D813="","",DATA_INPUT!D813)</f>
        <v/>
      </c>
      <c r="F1390" t="str">
        <f t="shared" si="37"/>
        <v/>
      </c>
      <c r="G1390" t="str">
        <f t="shared" si="38"/>
        <v/>
      </c>
    </row>
    <row r="1391" spans="1:7">
      <c r="A1391" s="10" t="str">
        <f>IF(DATA_INPUT!A814="","",DATA_INPUT!A814)</f>
        <v/>
      </c>
      <c r="B1391" t="str">
        <f t="shared" si="36"/>
        <v/>
      </c>
      <c r="C1391" t="str">
        <f>IF(DATA_INPUT!B814="","",DATA_INPUT!B814)</f>
        <v/>
      </c>
      <c r="D1391" t="str">
        <f>IF(DATA_INPUT!C814="","",DATA_INPUT!C814)</f>
        <v/>
      </c>
      <c r="E1391" s="27" t="str">
        <f>IF(DATA_INPUT!D814="","",DATA_INPUT!D814)</f>
        <v/>
      </c>
      <c r="F1391" t="str">
        <f t="shared" si="37"/>
        <v/>
      </c>
      <c r="G1391" t="str">
        <f t="shared" si="38"/>
        <v/>
      </c>
    </row>
    <row r="1392" spans="1:7">
      <c r="A1392" s="10" t="str">
        <f>IF(DATA_INPUT!A815="","",DATA_INPUT!A815)</f>
        <v/>
      </c>
      <c r="B1392" t="str">
        <f t="shared" si="36"/>
        <v/>
      </c>
      <c r="C1392" t="str">
        <f>IF(DATA_INPUT!B815="","",DATA_INPUT!B815)</f>
        <v/>
      </c>
      <c r="D1392" t="str">
        <f>IF(DATA_INPUT!C815="","",DATA_INPUT!C815)</f>
        <v/>
      </c>
      <c r="E1392" s="27" t="str">
        <f>IF(DATA_INPUT!D815="","",DATA_INPUT!D815)</f>
        <v/>
      </c>
      <c r="F1392" t="str">
        <f t="shared" si="37"/>
        <v/>
      </c>
      <c r="G1392" t="str">
        <f t="shared" si="38"/>
        <v/>
      </c>
    </row>
    <row r="1393" spans="1:7">
      <c r="A1393" s="10" t="str">
        <f>IF(DATA_INPUT!A816="","",DATA_INPUT!A816)</f>
        <v/>
      </c>
      <c r="B1393" t="str">
        <f t="shared" si="36"/>
        <v/>
      </c>
      <c r="C1393" t="str">
        <f>IF(DATA_INPUT!B816="","",DATA_INPUT!B816)</f>
        <v/>
      </c>
      <c r="D1393" t="str">
        <f>IF(DATA_INPUT!C816="","",DATA_INPUT!C816)</f>
        <v/>
      </c>
      <c r="E1393" s="27" t="str">
        <f>IF(DATA_INPUT!D816="","",DATA_INPUT!D816)</f>
        <v/>
      </c>
      <c r="F1393" t="str">
        <f t="shared" si="37"/>
        <v/>
      </c>
      <c r="G1393" t="str">
        <f t="shared" si="38"/>
        <v/>
      </c>
    </row>
    <row r="1394" spans="1:7">
      <c r="A1394" s="10" t="str">
        <f>IF(DATA_INPUT!A817="","",DATA_INPUT!A817)</f>
        <v/>
      </c>
      <c r="B1394" t="str">
        <f t="shared" si="36"/>
        <v/>
      </c>
      <c r="C1394" t="str">
        <f>IF(DATA_INPUT!B817="","",DATA_INPUT!B817)</f>
        <v/>
      </c>
      <c r="D1394" t="str">
        <f>IF(DATA_INPUT!C817="","",DATA_INPUT!C817)</f>
        <v/>
      </c>
      <c r="E1394" s="27" t="str">
        <f>IF(DATA_INPUT!D817="","",DATA_INPUT!D817)</f>
        <v/>
      </c>
      <c r="F1394" t="str">
        <f t="shared" si="37"/>
        <v/>
      </c>
      <c r="G1394" t="str">
        <f t="shared" si="38"/>
        <v/>
      </c>
    </row>
    <row r="1395" spans="1:7">
      <c r="A1395" s="10" t="str">
        <f>IF(DATA_INPUT!A818="","",DATA_INPUT!A818)</f>
        <v/>
      </c>
      <c r="B1395" t="str">
        <f t="shared" si="36"/>
        <v/>
      </c>
      <c r="C1395" t="str">
        <f>IF(DATA_INPUT!B818="","",DATA_INPUT!B818)</f>
        <v/>
      </c>
      <c r="D1395" t="str">
        <f>IF(DATA_INPUT!C818="","",DATA_INPUT!C818)</f>
        <v/>
      </c>
      <c r="E1395" s="27" t="str">
        <f>IF(DATA_INPUT!D818="","",DATA_INPUT!D818)</f>
        <v/>
      </c>
      <c r="F1395" t="str">
        <f t="shared" si="37"/>
        <v/>
      </c>
      <c r="G1395" t="str">
        <f t="shared" si="38"/>
        <v/>
      </c>
    </row>
    <row r="1396" spans="1:7">
      <c r="A1396" s="10" t="str">
        <f>IF(DATA_INPUT!A819="","",DATA_INPUT!A819)</f>
        <v/>
      </c>
      <c r="B1396" t="str">
        <f t="shared" si="36"/>
        <v/>
      </c>
      <c r="C1396" t="str">
        <f>IF(DATA_INPUT!B819="","",DATA_INPUT!B819)</f>
        <v/>
      </c>
      <c r="D1396" t="str">
        <f>IF(DATA_INPUT!C819="","",DATA_INPUT!C819)</f>
        <v/>
      </c>
      <c r="E1396" s="27" t="str">
        <f>IF(DATA_INPUT!D819="","",DATA_INPUT!D819)</f>
        <v/>
      </c>
      <c r="F1396" t="str">
        <f t="shared" si="37"/>
        <v/>
      </c>
      <c r="G1396" t="str">
        <f t="shared" si="38"/>
        <v/>
      </c>
    </row>
    <row r="1397" spans="1:7">
      <c r="A1397" s="10" t="str">
        <f>IF(DATA_INPUT!A820="","",DATA_INPUT!A820)</f>
        <v/>
      </c>
      <c r="B1397" t="str">
        <f t="shared" si="36"/>
        <v/>
      </c>
      <c r="C1397" t="str">
        <f>IF(DATA_INPUT!B820="","",DATA_INPUT!B820)</f>
        <v/>
      </c>
      <c r="D1397" t="str">
        <f>IF(DATA_INPUT!C820="","",DATA_INPUT!C820)</f>
        <v/>
      </c>
      <c r="E1397" s="27" t="str">
        <f>IF(DATA_INPUT!D820="","",DATA_INPUT!D820)</f>
        <v/>
      </c>
      <c r="F1397" t="str">
        <f t="shared" si="37"/>
        <v/>
      </c>
      <c r="G1397" t="str">
        <f t="shared" si="38"/>
        <v/>
      </c>
    </row>
    <row r="1398" spans="1:7">
      <c r="A1398" s="10" t="str">
        <f>IF(DATA_INPUT!A821="","",DATA_INPUT!A821)</f>
        <v/>
      </c>
      <c r="B1398" t="str">
        <f t="shared" si="36"/>
        <v/>
      </c>
      <c r="C1398" t="str">
        <f>IF(DATA_INPUT!B821="","",DATA_INPUT!B821)</f>
        <v/>
      </c>
      <c r="D1398" t="str">
        <f>IF(DATA_INPUT!C821="","",DATA_INPUT!C821)</f>
        <v/>
      </c>
      <c r="E1398" s="27" t="str">
        <f>IF(DATA_INPUT!D821="","",DATA_INPUT!D821)</f>
        <v/>
      </c>
      <c r="F1398" t="str">
        <f t="shared" si="37"/>
        <v/>
      </c>
      <c r="G1398" t="str">
        <f t="shared" si="38"/>
        <v/>
      </c>
    </row>
    <row r="1399" spans="1:7">
      <c r="A1399" s="10" t="str">
        <f>IF(DATA_INPUT!A822="","",DATA_INPUT!A822)</f>
        <v/>
      </c>
      <c r="B1399" t="str">
        <f t="shared" si="36"/>
        <v/>
      </c>
      <c r="C1399" t="str">
        <f>IF(DATA_INPUT!B822="","",DATA_INPUT!B822)</f>
        <v/>
      </c>
      <c r="D1399" t="str">
        <f>IF(DATA_INPUT!C822="","",DATA_INPUT!C822)</f>
        <v/>
      </c>
      <c r="E1399" s="27" t="str">
        <f>IF(DATA_INPUT!D822="","",DATA_INPUT!D822)</f>
        <v/>
      </c>
      <c r="F1399" t="str">
        <f t="shared" si="37"/>
        <v/>
      </c>
      <c r="G1399" t="str">
        <f t="shared" si="38"/>
        <v/>
      </c>
    </row>
    <row r="1400" spans="1:7">
      <c r="A1400" s="10" t="str">
        <f>IF(DATA_INPUT!A823="","",DATA_INPUT!A823)</f>
        <v/>
      </c>
      <c r="B1400" t="str">
        <f t="shared" si="36"/>
        <v/>
      </c>
      <c r="C1400" t="str">
        <f>IF(DATA_INPUT!B823="","",DATA_INPUT!B823)</f>
        <v/>
      </c>
      <c r="D1400" t="str">
        <f>IF(DATA_INPUT!C823="","",DATA_INPUT!C823)</f>
        <v/>
      </c>
      <c r="E1400" s="27" t="str">
        <f>IF(DATA_INPUT!D823="","",DATA_INPUT!D823)</f>
        <v/>
      </c>
      <c r="F1400" t="str">
        <f t="shared" si="37"/>
        <v/>
      </c>
      <c r="G1400" t="str">
        <f t="shared" si="38"/>
        <v/>
      </c>
    </row>
    <row r="1401" spans="1:7">
      <c r="A1401" s="10" t="str">
        <f>IF(DATA_INPUT!A824="","",DATA_INPUT!A824)</f>
        <v/>
      </c>
      <c r="B1401" t="str">
        <f t="shared" si="36"/>
        <v/>
      </c>
      <c r="C1401" t="str">
        <f>IF(DATA_INPUT!B824="","",DATA_INPUT!B824)</f>
        <v/>
      </c>
      <c r="D1401" t="str">
        <f>IF(DATA_INPUT!C824="","",DATA_INPUT!C824)</f>
        <v/>
      </c>
      <c r="E1401" s="27" t="str">
        <f>IF(DATA_INPUT!D824="","",DATA_INPUT!D824)</f>
        <v/>
      </c>
      <c r="F1401" t="str">
        <f t="shared" si="37"/>
        <v/>
      </c>
      <c r="G1401" t="str">
        <f t="shared" si="38"/>
        <v/>
      </c>
    </row>
    <row r="1402" spans="1:7">
      <c r="A1402" s="10" t="str">
        <f>IF(DATA_INPUT!A825="","",DATA_INPUT!A825)</f>
        <v/>
      </c>
      <c r="B1402" t="str">
        <f t="shared" si="36"/>
        <v/>
      </c>
      <c r="C1402" t="str">
        <f>IF(DATA_INPUT!B825="","",DATA_INPUT!B825)</f>
        <v/>
      </c>
      <c r="D1402" t="str">
        <f>IF(DATA_INPUT!C825="","",DATA_INPUT!C825)</f>
        <v/>
      </c>
      <c r="E1402" s="27" t="str">
        <f>IF(DATA_INPUT!D825="","",DATA_INPUT!D825)</f>
        <v/>
      </c>
      <c r="F1402" t="str">
        <f t="shared" si="37"/>
        <v/>
      </c>
      <c r="G1402" t="str">
        <f t="shared" si="38"/>
        <v/>
      </c>
    </row>
    <row r="1403" spans="1:7">
      <c r="A1403" s="10" t="str">
        <f>IF(DATA_INPUT!A826="","",DATA_INPUT!A826)</f>
        <v/>
      </c>
      <c r="B1403" t="str">
        <f t="shared" si="36"/>
        <v/>
      </c>
      <c r="C1403" t="str">
        <f>IF(DATA_INPUT!B826="","",DATA_INPUT!B826)</f>
        <v/>
      </c>
      <c r="D1403" t="str">
        <f>IF(DATA_INPUT!C826="","",DATA_INPUT!C826)</f>
        <v/>
      </c>
      <c r="E1403" s="27" t="str">
        <f>IF(DATA_INPUT!D826="","",DATA_INPUT!D826)</f>
        <v/>
      </c>
      <c r="F1403" t="str">
        <f t="shared" si="37"/>
        <v/>
      </c>
      <c r="G1403" t="str">
        <f t="shared" si="38"/>
        <v/>
      </c>
    </row>
    <row r="1404" spans="1:7">
      <c r="A1404" s="10" t="str">
        <f>IF(DATA_INPUT!A827="","",DATA_INPUT!A827)</f>
        <v/>
      </c>
      <c r="B1404" t="str">
        <f t="shared" si="36"/>
        <v/>
      </c>
      <c r="C1404" t="str">
        <f>IF(DATA_INPUT!B827="","",DATA_INPUT!B827)</f>
        <v/>
      </c>
      <c r="D1404" t="str">
        <f>IF(DATA_INPUT!C827="","",DATA_INPUT!C827)</f>
        <v/>
      </c>
      <c r="E1404" s="27" t="str">
        <f>IF(DATA_INPUT!D827="","",DATA_INPUT!D827)</f>
        <v/>
      </c>
      <c r="F1404" t="str">
        <f t="shared" si="37"/>
        <v/>
      </c>
      <c r="G1404" t="str">
        <f t="shared" si="38"/>
        <v/>
      </c>
    </row>
    <row r="1405" spans="1:7">
      <c r="A1405" s="10" t="str">
        <f>IF(DATA_INPUT!A828="","",DATA_INPUT!A828)</f>
        <v/>
      </c>
      <c r="B1405" t="str">
        <f t="shared" si="36"/>
        <v/>
      </c>
      <c r="C1405" t="str">
        <f>IF(DATA_INPUT!B828="","",DATA_INPUT!B828)</f>
        <v/>
      </c>
      <c r="D1405" t="str">
        <f>IF(DATA_INPUT!C828="","",DATA_INPUT!C828)</f>
        <v/>
      </c>
      <c r="E1405" s="27" t="str">
        <f>IF(DATA_INPUT!D828="","",DATA_INPUT!D828)</f>
        <v/>
      </c>
      <c r="F1405" t="str">
        <f t="shared" si="37"/>
        <v/>
      </c>
      <c r="G1405" t="str">
        <f t="shared" si="38"/>
        <v/>
      </c>
    </row>
    <row r="1406" spans="1:7">
      <c r="A1406" s="10" t="str">
        <f>IF(DATA_INPUT!A829="","",DATA_INPUT!A829)</f>
        <v/>
      </c>
      <c r="B1406" t="str">
        <f t="shared" si="36"/>
        <v/>
      </c>
      <c r="C1406" t="str">
        <f>IF(DATA_INPUT!B829="","",DATA_INPUT!B829)</f>
        <v/>
      </c>
      <c r="D1406" t="str">
        <f>IF(DATA_INPUT!C829="","",DATA_INPUT!C829)</f>
        <v/>
      </c>
      <c r="E1406" s="27" t="str">
        <f>IF(DATA_INPUT!D829="","",DATA_INPUT!D829)</f>
        <v/>
      </c>
      <c r="F1406" t="str">
        <f t="shared" si="37"/>
        <v/>
      </c>
      <c r="G1406" t="str">
        <f t="shared" si="38"/>
        <v/>
      </c>
    </row>
    <row r="1407" spans="1:7">
      <c r="A1407" s="10" t="str">
        <f>IF(DATA_INPUT!A830="","",DATA_INPUT!A830)</f>
        <v/>
      </c>
      <c r="B1407" t="str">
        <f t="shared" si="36"/>
        <v/>
      </c>
      <c r="C1407" t="str">
        <f>IF(DATA_INPUT!B830="","",DATA_INPUT!B830)</f>
        <v/>
      </c>
      <c r="D1407" t="str">
        <f>IF(DATA_INPUT!C830="","",DATA_INPUT!C830)</f>
        <v/>
      </c>
      <c r="E1407" s="27" t="str">
        <f>IF(DATA_INPUT!D830="","",DATA_INPUT!D830)</f>
        <v/>
      </c>
      <c r="F1407" t="str">
        <f t="shared" si="37"/>
        <v/>
      </c>
      <c r="G1407" t="str">
        <f t="shared" si="38"/>
        <v/>
      </c>
    </row>
    <row r="1408" spans="1:7">
      <c r="A1408" s="10" t="str">
        <f>IF(DATA_INPUT!A831="","",DATA_INPUT!A831)</f>
        <v/>
      </c>
      <c r="B1408" t="str">
        <f t="shared" si="36"/>
        <v/>
      </c>
      <c r="C1408" t="str">
        <f>IF(DATA_INPUT!B831="","",DATA_INPUT!B831)</f>
        <v/>
      </c>
      <c r="D1408" t="str">
        <f>IF(DATA_INPUT!C831="","",DATA_INPUT!C831)</f>
        <v/>
      </c>
      <c r="E1408" s="27" t="str">
        <f>IF(DATA_INPUT!D831="","",DATA_INPUT!D831)</f>
        <v/>
      </c>
      <c r="F1408" t="str">
        <f t="shared" si="37"/>
        <v/>
      </c>
      <c r="G1408" t="str">
        <f t="shared" si="38"/>
        <v/>
      </c>
    </row>
    <row r="1409" spans="1:7">
      <c r="A1409" s="10" t="str">
        <f>IF(DATA_INPUT!A832="","",DATA_INPUT!A832)</f>
        <v/>
      </c>
      <c r="B1409" t="str">
        <f t="shared" si="36"/>
        <v/>
      </c>
      <c r="C1409" t="str">
        <f>IF(DATA_INPUT!B832="","",DATA_INPUT!B832)</f>
        <v/>
      </c>
      <c r="D1409" t="str">
        <f>IF(DATA_INPUT!C832="","",DATA_INPUT!C832)</f>
        <v/>
      </c>
      <c r="E1409" s="27" t="str">
        <f>IF(DATA_INPUT!D832="","",DATA_INPUT!D832)</f>
        <v/>
      </c>
      <c r="F1409" t="str">
        <f t="shared" si="37"/>
        <v/>
      </c>
      <c r="G1409" t="str">
        <f t="shared" si="38"/>
        <v/>
      </c>
    </row>
    <row r="1410" spans="1:7">
      <c r="A1410" s="10" t="str">
        <f>IF(DATA_INPUT!A833="","",DATA_INPUT!A833)</f>
        <v/>
      </c>
      <c r="B1410" t="str">
        <f t="shared" si="36"/>
        <v/>
      </c>
      <c r="C1410" t="str">
        <f>IF(DATA_INPUT!B833="","",DATA_INPUT!B833)</f>
        <v/>
      </c>
      <c r="D1410" t="str">
        <f>IF(DATA_INPUT!C833="","",DATA_INPUT!C833)</f>
        <v/>
      </c>
      <c r="E1410" s="27" t="str">
        <f>IF(DATA_INPUT!D833="","",DATA_INPUT!D833)</f>
        <v/>
      </c>
      <c r="F1410" t="str">
        <f t="shared" si="37"/>
        <v/>
      </c>
      <c r="G1410" t="str">
        <f t="shared" si="38"/>
        <v/>
      </c>
    </row>
    <row r="1411" spans="1:7">
      <c r="A1411" s="10" t="str">
        <f>IF(DATA_INPUT!A834="","",DATA_INPUT!A834)</f>
        <v/>
      </c>
      <c r="B1411" t="str">
        <f t="shared" si="36"/>
        <v/>
      </c>
      <c r="C1411" t="str">
        <f>IF(DATA_INPUT!B834="","",DATA_INPUT!B834)</f>
        <v/>
      </c>
      <c r="D1411" t="str">
        <f>IF(DATA_INPUT!C834="","",DATA_INPUT!C834)</f>
        <v/>
      </c>
      <c r="E1411" s="27" t="str">
        <f>IF(DATA_INPUT!D834="","",DATA_INPUT!D834)</f>
        <v/>
      </c>
      <c r="F1411" t="str">
        <f t="shared" si="37"/>
        <v/>
      </c>
      <c r="G1411" t="str">
        <f t="shared" si="38"/>
        <v/>
      </c>
    </row>
    <row r="1412" spans="1:7">
      <c r="A1412" s="10" t="str">
        <f>IF(DATA_INPUT!A835="","",DATA_INPUT!A835)</f>
        <v/>
      </c>
      <c r="B1412" t="str">
        <f t="shared" ref="B1412:B1475" si="39">IF(A1412="","",TEXT(A1412,"dddd"))</f>
        <v/>
      </c>
      <c r="C1412" t="str">
        <f>IF(DATA_INPUT!B835="","",DATA_INPUT!B835)</f>
        <v/>
      </c>
      <c r="D1412" t="str">
        <f>IF(DATA_INPUT!C835="","",DATA_INPUT!C835)</f>
        <v/>
      </c>
      <c r="E1412" s="27" t="str">
        <f>IF(DATA_INPUT!D835="","",DATA_INPUT!D835)</f>
        <v/>
      </c>
      <c r="F1412" t="str">
        <f t="shared" ref="F1412:F1475" si="40">IF(A1412="","",TEXT(A1412,"mmm yyyy"))</f>
        <v/>
      </c>
      <c r="G1412" t="str">
        <f t="shared" ref="G1412:G1475" si="41">IF(A1412="","",WEEKNUM(A1412))</f>
        <v/>
      </c>
    </row>
    <row r="1413" spans="1:7">
      <c r="A1413" s="10" t="str">
        <f>IF(DATA_INPUT!A836="","",DATA_INPUT!A836)</f>
        <v/>
      </c>
      <c r="B1413" t="str">
        <f t="shared" si="39"/>
        <v/>
      </c>
      <c r="C1413" t="str">
        <f>IF(DATA_INPUT!B836="","",DATA_INPUT!B836)</f>
        <v/>
      </c>
      <c r="D1413" t="str">
        <f>IF(DATA_INPUT!C836="","",DATA_INPUT!C836)</f>
        <v/>
      </c>
      <c r="E1413" s="27" t="str">
        <f>IF(DATA_INPUT!D836="","",DATA_INPUT!D836)</f>
        <v/>
      </c>
      <c r="F1413" t="str">
        <f t="shared" si="40"/>
        <v/>
      </c>
      <c r="G1413" t="str">
        <f t="shared" si="41"/>
        <v/>
      </c>
    </row>
    <row r="1414" spans="1:7">
      <c r="A1414" s="10" t="str">
        <f>IF(DATA_INPUT!A837="","",DATA_INPUT!A837)</f>
        <v/>
      </c>
      <c r="B1414" t="str">
        <f t="shared" si="39"/>
        <v/>
      </c>
      <c r="C1414" t="str">
        <f>IF(DATA_INPUT!B837="","",DATA_INPUT!B837)</f>
        <v/>
      </c>
      <c r="D1414" t="str">
        <f>IF(DATA_INPUT!C837="","",DATA_INPUT!C837)</f>
        <v/>
      </c>
      <c r="E1414" s="27" t="str">
        <f>IF(DATA_INPUT!D837="","",DATA_INPUT!D837)</f>
        <v/>
      </c>
      <c r="F1414" t="str">
        <f t="shared" si="40"/>
        <v/>
      </c>
      <c r="G1414" t="str">
        <f t="shared" si="41"/>
        <v/>
      </c>
    </row>
    <row r="1415" spans="1:7">
      <c r="A1415" s="10" t="str">
        <f>IF(DATA_INPUT!A838="","",DATA_INPUT!A838)</f>
        <v/>
      </c>
      <c r="B1415" t="str">
        <f t="shared" si="39"/>
        <v/>
      </c>
      <c r="C1415" t="str">
        <f>IF(DATA_INPUT!B838="","",DATA_INPUT!B838)</f>
        <v/>
      </c>
      <c r="D1415" t="str">
        <f>IF(DATA_INPUT!C838="","",DATA_INPUT!C838)</f>
        <v/>
      </c>
      <c r="E1415" s="27" t="str">
        <f>IF(DATA_INPUT!D838="","",DATA_INPUT!D838)</f>
        <v/>
      </c>
      <c r="F1415" t="str">
        <f t="shared" si="40"/>
        <v/>
      </c>
      <c r="G1415" t="str">
        <f t="shared" si="41"/>
        <v/>
      </c>
    </row>
    <row r="1416" spans="1:7">
      <c r="A1416" s="10" t="str">
        <f>IF(DATA_INPUT!A839="","",DATA_INPUT!A839)</f>
        <v/>
      </c>
      <c r="B1416" t="str">
        <f t="shared" si="39"/>
        <v/>
      </c>
      <c r="C1416" t="str">
        <f>IF(DATA_INPUT!B839="","",DATA_INPUT!B839)</f>
        <v/>
      </c>
      <c r="D1416" t="str">
        <f>IF(DATA_INPUT!C839="","",DATA_INPUT!C839)</f>
        <v/>
      </c>
      <c r="E1416" s="27" t="str">
        <f>IF(DATA_INPUT!D839="","",DATA_INPUT!D839)</f>
        <v/>
      </c>
      <c r="F1416" t="str">
        <f t="shared" si="40"/>
        <v/>
      </c>
      <c r="G1416" t="str">
        <f t="shared" si="41"/>
        <v/>
      </c>
    </row>
    <row r="1417" spans="1:7">
      <c r="A1417" s="10" t="str">
        <f>IF(DATA_INPUT!A840="","",DATA_INPUT!A840)</f>
        <v/>
      </c>
      <c r="B1417" t="str">
        <f t="shared" si="39"/>
        <v/>
      </c>
      <c r="C1417" t="str">
        <f>IF(DATA_INPUT!B840="","",DATA_INPUT!B840)</f>
        <v/>
      </c>
      <c r="D1417" t="str">
        <f>IF(DATA_INPUT!C840="","",DATA_INPUT!C840)</f>
        <v/>
      </c>
      <c r="E1417" s="27" t="str">
        <f>IF(DATA_INPUT!D840="","",DATA_INPUT!D840)</f>
        <v/>
      </c>
      <c r="F1417" t="str">
        <f t="shared" si="40"/>
        <v/>
      </c>
      <c r="G1417" t="str">
        <f t="shared" si="41"/>
        <v/>
      </c>
    </row>
    <row r="1418" spans="1:7">
      <c r="A1418" s="10" t="str">
        <f>IF(DATA_INPUT!A841="","",DATA_INPUT!A841)</f>
        <v/>
      </c>
      <c r="B1418" t="str">
        <f t="shared" si="39"/>
        <v/>
      </c>
      <c r="C1418" t="str">
        <f>IF(DATA_INPUT!B841="","",DATA_INPUT!B841)</f>
        <v/>
      </c>
      <c r="D1418" t="str">
        <f>IF(DATA_INPUT!C841="","",DATA_INPUT!C841)</f>
        <v/>
      </c>
      <c r="E1418" s="27" t="str">
        <f>IF(DATA_INPUT!D841="","",DATA_INPUT!D841)</f>
        <v/>
      </c>
      <c r="F1418" t="str">
        <f t="shared" si="40"/>
        <v/>
      </c>
      <c r="G1418" t="str">
        <f t="shared" si="41"/>
        <v/>
      </c>
    </row>
    <row r="1419" spans="1:7">
      <c r="A1419" s="10" t="str">
        <f>IF(DATA_INPUT!A842="","",DATA_INPUT!A842)</f>
        <v/>
      </c>
      <c r="B1419" t="str">
        <f t="shared" si="39"/>
        <v/>
      </c>
      <c r="C1419" t="str">
        <f>IF(DATA_INPUT!B842="","",DATA_INPUT!B842)</f>
        <v/>
      </c>
      <c r="D1419" t="str">
        <f>IF(DATA_INPUT!C842="","",DATA_INPUT!C842)</f>
        <v/>
      </c>
      <c r="E1419" s="27" t="str">
        <f>IF(DATA_INPUT!D842="","",DATA_INPUT!D842)</f>
        <v/>
      </c>
      <c r="F1419" t="str">
        <f t="shared" si="40"/>
        <v/>
      </c>
      <c r="G1419" t="str">
        <f t="shared" si="41"/>
        <v/>
      </c>
    </row>
    <row r="1420" spans="1:7">
      <c r="A1420" s="10" t="str">
        <f>IF(DATA_INPUT!A843="","",DATA_INPUT!A843)</f>
        <v/>
      </c>
      <c r="B1420" t="str">
        <f t="shared" si="39"/>
        <v/>
      </c>
      <c r="C1420" t="str">
        <f>IF(DATA_INPUT!B843="","",DATA_INPUT!B843)</f>
        <v/>
      </c>
      <c r="D1420" t="str">
        <f>IF(DATA_INPUT!C843="","",DATA_INPUT!C843)</f>
        <v/>
      </c>
      <c r="E1420" s="27" t="str">
        <f>IF(DATA_INPUT!D843="","",DATA_INPUT!D843)</f>
        <v/>
      </c>
      <c r="F1420" t="str">
        <f t="shared" si="40"/>
        <v/>
      </c>
      <c r="G1420" t="str">
        <f t="shared" si="41"/>
        <v/>
      </c>
    </row>
    <row r="1421" spans="1:7">
      <c r="A1421" s="10" t="str">
        <f>IF(DATA_INPUT!A844="","",DATA_INPUT!A844)</f>
        <v/>
      </c>
      <c r="B1421" t="str">
        <f t="shared" si="39"/>
        <v/>
      </c>
      <c r="C1421" t="str">
        <f>IF(DATA_INPUT!B844="","",DATA_INPUT!B844)</f>
        <v/>
      </c>
      <c r="D1421" t="str">
        <f>IF(DATA_INPUT!C844="","",DATA_INPUT!C844)</f>
        <v/>
      </c>
      <c r="E1421" s="27" t="str">
        <f>IF(DATA_INPUT!D844="","",DATA_INPUT!D844)</f>
        <v/>
      </c>
      <c r="F1421" t="str">
        <f t="shared" si="40"/>
        <v/>
      </c>
      <c r="G1421" t="str">
        <f t="shared" si="41"/>
        <v/>
      </c>
    </row>
    <row r="1422" spans="1:7">
      <c r="A1422" s="10" t="str">
        <f>IF(DATA_INPUT!A845="","",DATA_INPUT!A845)</f>
        <v/>
      </c>
      <c r="B1422" t="str">
        <f t="shared" si="39"/>
        <v/>
      </c>
      <c r="C1422" t="str">
        <f>IF(DATA_INPUT!B845="","",DATA_INPUT!B845)</f>
        <v/>
      </c>
      <c r="D1422" t="str">
        <f>IF(DATA_INPUT!C845="","",DATA_INPUT!C845)</f>
        <v/>
      </c>
      <c r="E1422" s="27" t="str">
        <f>IF(DATA_INPUT!D845="","",DATA_INPUT!D845)</f>
        <v/>
      </c>
      <c r="F1422" t="str">
        <f t="shared" si="40"/>
        <v/>
      </c>
      <c r="G1422" t="str">
        <f t="shared" si="41"/>
        <v/>
      </c>
    </row>
    <row r="1423" spans="1:7">
      <c r="A1423" s="10" t="str">
        <f>IF(DATA_INPUT!A846="","",DATA_INPUT!A846)</f>
        <v/>
      </c>
      <c r="B1423" t="str">
        <f t="shared" si="39"/>
        <v/>
      </c>
      <c r="C1423" t="str">
        <f>IF(DATA_INPUT!B846="","",DATA_INPUT!B846)</f>
        <v/>
      </c>
      <c r="D1423" t="str">
        <f>IF(DATA_INPUT!C846="","",DATA_INPUT!C846)</f>
        <v/>
      </c>
      <c r="E1423" s="27" t="str">
        <f>IF(DATA_INPUT!D846="","",DATA_INPUT!D846)</f>
        <v/>
      </c>
      <c r="F1423" t="str">
        <f t="shared" si="40"/>
        <v/>
      </c>
      <c r="G1423" t="str">
        <f t="shared" si="41"/>
        <v/>
      </c>
    </row>
    <row r="1424" spans="1:7">
      <c r="A1424" s="10" t="str">
        <f>IF(DATA_INPUT!A847="","",DATA_INPUT!A847)</f>
        <v/>
      </c>
      <c r="B1424" t="str">
        <f t="shared" si="39"/>
        <v/>
      </c>
      <c r="C1424" t="str">
        <f>IF(DATA_INPUT!B847="","",DATA_INPUT!B847)</f>
        <v/>
      </c>
      <c r="D1424" t="str">
        <f>IF(DATA_INPUT!C847="","",DATA_INPUT!C847)</f>
        <v/>
      </c>
      <c r="E1424" s="27" t="str">
        <f>IF(DATA_INPUT!D847="","",DATA_INPUT!D847)</f>
        <v/>
      </c>
      <c r="F1424" t="str">
        <f t="shared" si="40"/>
        <v/>
      </c>
      <c r="G1424" t="str">
        <f t="shared" si="41"/>
        <v/>
      </c>
    </row>
    <row r="1425" spans="1:7">
      <c r="A1425" s="10" t="str">
        <f>IF(DATA_INPUT!A848="","",DATA_INPUT!A848)</f>
        <v/>
      </c>
      <c r="B1425" t="str">
        <f t="shared" si="39"/>
        <v/>
      </c>
      <c r="C1425" t="str">
        <f>IF(DATA_INPUT!B848="","",DATA_INPUT!B848)</f>
        <v/>
      </c>
      <c r="D1425" t="str">
        <f>IF(DATA_INPUT!C848="","",DATA_INPUT!C848)</f>
        <v/>
      </c>
      <c r="E1425" s="27" t="str">
        <f>IF(DATA_INPUT!D848="","",DATA_INPUT!D848)</f>
        <v/>
      </c>
      <c r="F1425" t="str">
        <f t="shared" si="40"/>
        <v/>
      </c>
      <c r="G1425" t="str">
        <f t="shared" si="41"/>
        <v/>
      </c>
    </row>
    <row r="1426" spans="1:7">
      <c r="A1426" s="10" t="str">
        <f>IF(DATA_INPUT!A849="","",DATA_INPUT!A849)</f>
        <v/>
      </c>
      <c r="B1426" t="str">
        <f t="shared" si="39"/>
        <v/>
      </c>
      <c r="C1426" t="str">
        <f>IF(DATA_INPUT!B849="","",DATA_INPUT!B849)</f>
        <v/>
      </c>
      <c r="D1426" t="str">
        <f>IF(DATA_INPUT!C849="","",DATA_INPUT!C849)</f>
        <v/>
      </c>
      <c r="E1426" s="27" t="str">
        <f>IF(DATA_INPUT!D849="","",DATA_INPUT!D849)</f>
        <v/>
      </c>
      <c r="F1426" t="str">
        <f t="shared" si="40"/>
        <v/>
      </c>
      <c r="G1426" t="str">
        <f t="shared" si="41"/>
        <v/>
      </c>
    </row>
    <row r="1427" spans="1:7">
      <c r="A1427" s="10" t="str">
        <f>IF(DATA_INPUT!A850="","",DATA_INPUT!A850)</f>
        <v/>
      </c>
      <c r="B1427" t="str">
        <f t="shared" si="39"/>
        <v/>
      </c>
      <c r="C1427" t="str">
        <f>IF(DATA_INPUT!B850="","",DATA_INPUT!B850)</f>
        <v/>
      </c>
      <c r="D1427" t="str">
        <f>IF(DATA_INPUT!C850="","",DATA_INPUT!C850)</f>
        <v/>
      </c>
      <c r="E1427" s="27" t="str">
        <f>IF(DATA_INPUT!D850="","",DATA_INPUT!D850)</f>
        <v/>
      </c>
      <c r="F1427" t="str">
        <f t="shared" si="40"/>
        <v/>
      </c>
      <c r="G1427" t="str">
        <f t="shared" si="41"/>
        <v/>
      </c>
    </row>
    <row r="1428" spans="1:7">
      <c r="A1428" s="10" t="str">
        <f>IF(DATA_INPUT!A851="","",DATA_INPUT!A851)</f>
        <v/>
      </c>
      <c r="B1428" t="str">
        <f t="shared" si="39"/>
        <v/>
      </c>
      <c r="C1428" t="str">
        <f>IF(DATA_INPUT!B851="","",DATA_INPUT!B851)</f>
        <v/>
      </c>
      <c r="D1428" t="str">
        <f>IF(DATA_INPUT!C851="","",DATA_INPUT!C851)</f>
        <v/>
      </c>
      <c r="E1428" s="27" t="str">
        <f>IF(DATA_INPUT!D851="","",DATA_INPUT!D851)</f>
        <v/>
      </c>
      <c r="F1428" t="str">
        <f t="shared" si="40"/>
        <v/>
      </c>
      <c r="G1428" t="str">
        <f t="shared" si="41"/>
        <v/>
      </c>
    </row>
    <row r="1429" spans="1:7">
      <c r="A1429" s="10" t="str">
        <f>IF(DATA_INPUT!A852="","",DATA_INPUT!A852)</f>
        <v/>
      </c>
      <c r="B1429" t="str">
        <f t="shared" si="39"/>
        <v/>
      </c>
      <c r="C1429" t="str">
        <f>IF(DATA_INPUT!B852="","",DATA_INPUT!B852)</f>
        <v/>
      </c>
      <c r="D1429" t="str">
        <f>IF(DATA_INPUT!C852="","",DATA_INPUT!C852)</f>
        <v/>
      </c>
      <c r="E1429" s="27" t="str">
        <f>IF(DATA_INPUT!D852="","",DATA_INPUT!D852)</f>
        <v/>
      </c>
      <c r="F1429" t="str">
        <f t="shared" si="40"/>
        <v/>
      </c>
      <c r="G1429" t="str">
        <f t="shared" si="41"/>
        <v/>
      </c>
    </row>
    <row r="1430" spans="1:7">
      <c r="A1430" s="10" t="str">
        <f>IF(DATA_INPUT!A853="","",DATA_INPUT!A853)</f>
        <v/>
      </c>
      <c r="B1430" t="str">
        <f t="shared" si="39"/>
        <v/>
      </c>
      <c r="C1430" t="str">
        <f>IF(DATA_INPUT!B853="","",DATA_INPUT!B853)</f>
        <v/>
      </c>
      <c r="D1430" t="str">
        <f>IF(DATA_INPUT!C853="","",DATA_INPUT!C853)</f>
        <v/>
      </c>
      <c r="E1430" s="27" t="str">
        <f>IF(DATA_INPUT!D853="","",DATA_INPUT!D853)</f>
        <v/>
      </c>
      <c r="F1430" t="str">
        <f t="shared" si="40"/>
        <v/>
      </c>
      <c r="G1430" t="str">
        <f t="shared" si="41"/>
        <v/>
      </c>
    </row>
    <row r="1431" spans="1:7">
      <c r="A1431" s="10" t="str">
        <f>IF(DATA_INPUT!A854="","",DATA_INPUT!A854)</f>
        <v/>
      </c>
      <c r="B1431" t="str">
        <f t="shared" si="39"/>
        <v/>
      </c>
      <c r="C1431" t="str">
        <f>IF(DATA_INPUT!B854="","",DATA_INPUT!B854)</f>
        <v/>
      </c>
      <c r="D1431" t="str">
        <f>IF(DATA_INPUT!C854="","",DATA_INPUT!C854)</f>
        <v/>
      </c>
      <c r="E1431" s="27" t="str">
        <f>IF(DATA_INPUT!D854="","",DATA_INPUT!D854)</f>
        <v/>
      </c>
      <c r="F1431" t="str">
        <f t="shared" si="40"/>
        <v/>
      </c>
      <c r="G1431" t="str">
        <f t="shared" si="41"/>
        <v/>
      </c>
    </row>
    <row r="1432" spans="1:7">
      <c r="A1432" s="10" t="str">
        <f>IF(DATA_INPUT!A855="","",DATA_INPUT!A855)</f>
        <v/>
      </c>
      <c r="B1432" t="str">
        <f t="shared" si="39"/>
        <v/>
      </c>
      <c r="C1432" t="str">
        <f>IF(DATA_INPUT!B855="","",DATA_INPUT!B855)</f>
        <v/>
      </c>
      <c r="D1432" t="str">
        <f>IF(DATA_INPUT!C855="","",DATA_INPUT!C855)</f>
        <v/>
      </c>
      <c r="E1432" s="27" t="str">
        <f>IF(DATA_INPUT!D855="","",DATA_INPUT!D855)</f>
        <v/>
      </c>
      <c r="F1432" t="str">
        <f t="shared" si="40"/>
        <v/>
      </c>
      <c r="G1432" t="str">
        <f t="shared" si="41"/>
        <v/>
      </c>
    </row>
    <row r="1433" spans="1:7">
      <c r="A1433" s="10" t="str">
        <f>IF(DATA_INPUT!A856="","",DATA_INPUT!A856)</f>
        <v/>
      </c>
      <c r="B1433" t="str">
        <f t="shared" si="39"/>
        <v/>
      </c>
      <c r="C1433" t="str">
        <f>IF(DATA_INPUT!B856="","",DATA_INPUT!B856)</f>
        <v/>
      </c>
      <c r="D1433" t="str">
        <f>IF(DATA_INPUT!C856="","",DATA_INPUT!C856)</f>
        <v/>
      </c>
      <c r="E1433" s="27" t="str">
        <f>IF(DATA_INPUT!D856="","",DATA_INPUT!D856)</f>
        <v/>
      </c>
      <c r="F1433" t="str">
        <f t="shared" si="40"/>
        <v/>
      </c>
      <c r="G1433" t="str">
        <f t="shared" si="41"/>
        <v/>
      </c>
    </row>
    <row r="1434" spans="1:7">
      <c r="A1434" s="10" t="str">
        <f>IF(DATA_INPUT!A857="","",DATA_INPUT!A857)</f>
        <v/>
      </c>
      <c r="B1434" t="str">
        <f t="shared" si="39"/>
        <v/>
      </c>
      <c r="C1434" t="str">
        <f>IF(DATA_INPUT!B857="","",DATA_INPUT!B857)</f>
        <v/>
      </c>
      <c r="D1434" t="str">
        <f>IF(DATA_INPUT!C857="","",DATA_INPUT!C857)</f>
        <v/>
      </c>
      <c r="E1434" s="27" t="str">
        <f>IF(DATA_INPUT!D857="","",DATA_INPUT!D857)</f>
        <v/>
      </c>
      <c r="F1434" t="str">
        <f t="shared" si="40"/>
        <v/>
      </c>
      <c r="G1434" t="str">
        <f t="shared" si="41"/>
        <v/>
      </c>
    </row>
    <row r="1435" spans="1:7">
      <c r="A1435" s="10" t="str">
        <f>IF(DATA_INPUT!A858="","",DATA_INPUT!A858)</f>
        <v/>
      </c>
      <c r="B1435" t="str">
        <f t="shared" si="39"/>
        <v/>
      </c>
      <c r="C1435" t="str">
        <f>IF(DATA_INPUT!B858="","",DATA_INPUT!B858)</f>
        <v/>
      </c>
      <c r="D1435" t="str">
        <f>IF(DATA_INPUT!C858="","",DATA_INPUT!C858)</f>
        <v/>
      </c>
      <c r="E1435" s="27" t="str">
        <f>IF(DATA_INPUT!D858="","",DATA_INPUT!D858)</f>
        <v/>
      </c>
      <c r="F1435" t="str">
        <f t="shared" si="40"/>
        <v/>
      </c>
      <c r="G1435" t="str">
        <f t="shared" si="41"/>
        <v/>
      </c>
    </row>
    <row r="1436" spans="1:7">
      <c r="A1436" s="10" t="str">
        <f>IF(DATA_INPUT!A859="","",DATA_INPUT!A859)</f>
        <v/>
      </c>
      <c r="B1436" t="str">
        <f t="shared" si="39"/>
        <v/>
      </c>
      <c r="C1436" t="str">
        <f>IF(DATA_INPUT!B859="","",DATA_INPUT!B859)</f>
        <v/>
      </c>
      <c r="D1436" t="str">
        <f>IF(DATA_INPUT!C859="","",DATA_INPUT!C859)</f>
        <v/>
      </c>
      <c r="E1436" s="27" t="str">
        <f>IF(DATA_INPUT!D859="","",DATA_INPUT!D859)</f>
        <v/>
      </c>
      <c r="F1436" t="str">
        <f t="shared" si="40"/>
        <v/>
      </c>
      <c r="G1436" t="str">
        <f t="shared" si="41"/>
        <v/>
      </c>
    </row>
    <row r="1437" spans="1:7">
      <c r="A1437" s="10" t="str">
        <f>IF(DATA_INPUT!A860="","",DATA_INPUT!A860)</f>
        <v/>
      </c>
      <c r="B1437" t="str">
        <f t="shared" si="39"/>
        <v/>
      </c>
      <c r="C1437" t="str">
        <f>IF(DATA_INPUT!B860="","",DATA_INPUT!B860)</f>
        <v/>
      </c>
      <c r="D1437" t="str">
        <f>IF(DATA_INPUT!C860="","",DATA_INPUT!C860)</f>
        <v/>
      </c>
      <c r="E1437" s="27" t="str">
        <f>IF(DATA_INPUT!D860="","",DATA_INPUT!D860)</f>
        <v/>
      </c>
      <c r="F1437" t="str">
        <f t="shared" si="40"/>
        <v/>
      </c>
      <c r="G1437" t="str">
        <f t="shared" si="41"/>
        <v/>
      </c>
    </row>
    <row r="1438" spans="1:7">
      <c r="A1438" s="10" t="str">
        <f>IF(DATA_INPUT!A861="","",DATA_INPUT!A861)</f>
        <v/>
      </c>
      <c r="B1438" t="str">
        <f t="shared" si="39"/>
        <v/>
      </c>
      <c r="C1438" t="str">
        <f>IF(DATA_INPUT!B861="","",DATA_INPUT!B861)</f>
        <v/>
      </c>
      <c r="D1438" t="str">
        <f>IF(DATA_INPUT!C861="","",DATA_INPUT!C861)</f>
        <v/>
      </c>
      <c r="E1438" s="27" t="str">
        <f>IF(DATA_INPUT!D861="","",DATA_INPUT!D861)</f>
        <v/>
      </c>
      <c r="F1438" t="str">
        <f t="shared" si="40"/>
        <v/>
      </c>
      <c r="G1438" t="str">
        <f t="shared" si="41"/>
        <v/>
      </c>
    </row>
    <row r="1439" spans="1:7">
      <c r="A1439" s="10" t="str">
        <f>IF(DATA_INPUT!A862="","",DATA_INPUT!A862)</f>
        <v/>
      </c>
      <c r="B1439" t="str">
        <f t="shared" si="39"/>
        <v/>
      </c>
      <c r="C1439" t="str">
        <f>IF(DATA_INPUT!B862="","",DATA_INPUT!B862)</f>
        <v/>
      </c>
      <c r="D1439" t="str">
        <f>IF(DATA_INPUT!C862="","",DATA_INPUT!C862)</f>
        <v/>
      </c>
      <c r="E1439" s="27" t="str">
        <f>IF(DATA_INPUT!D862="","",DATA_INPUT!D862)</f>
        <v/>
      </c>
      <c r="F1439" t="str">
        <f t="shared" si="40"/>
        <v/>
      </c>
      <c r="G1439" t="str">
        <f t="shared" si="41"/>
        <v/>
      </c>
    </row>
    <row r="1440" spans="1:7">
      <c r="A1440" s="10" t="str">
        <f>IF(DATA_INPUT!A863="","",DATA_INPUT!A863)</f>
        <v/>
      </c>
      <c r="B1440" t="str">
        <f t="shared" si="39"/>
        <v/>
      </c>
      <c r="C1440" t="str">
        <f>IF(DATA_INPUT!B863="","",DATA_INPUT!B863)</f>
        <v/>
      </c>
      <c r="D1440" t="str">
        <f>IF(DATA_INPUT!C863="","",DATA_INPUT!C863)</f>
        <v/>
      </c>
      <c r="E1440" s="27" t="str">
        <f>IF(DATA_INPUT!D863="","",DATA_INPUT!D863)</f>
        <v/>
      </c>
      <c r="F1440" t="str">
        <f t="shared" si="40"/>
        <v/>
      </c>
      <c r="G1440" t="str">
        <f t="shared" si="41"/>
        <v/>
      </c>
    </row>
    <row r="1441" spans="1:7">
      <c r="A1441" s="10" t="str">
        <f>IF(DATA_INPUT!A864="","",DATA_INPUT!A864)</f>
        <v/>
      </c>
      <c r="B1441" t="str">
        <f t="shared" si="39"/>
        <v/>
      </c>
      <c r="C1441" t="str">
        <f>IF(DATA_INPUT!B864="","",DATA_INPUT!B864)</f>
        <v/>
      </c>
      <c r="D1441" t="str">
        <f>IF(DATA_INPUT!C864="","",DATA_INPUT!C864)</f>
        <v/>
      </c>
      <c r="E1441" s="27" t="str">
        <f>IF(DATA_INPUT!D864="","",DATA_INPUT!D864)</f>
        <v/>
      </c>
      <c r="F1441" t="str">
        <f t="shared" si="40"/>
        <v/>
      </c>
      <c r="G1441" t="str">
        <f t="shared" si="41"/>
        <v/>
      </c>
    </row>
    <row r="1442" spans="1:7">
      <c r="A1442" s="10" t="str">
        <f>IF(DATA_INPUT!A865="","",DATA_INPUT!A865)</f>
        <v/>
      </c>
      <c r="B1442" t="str">
        <f t="shared" si="39"/>
        <v/>
      </c>
      <c r="C1442" t="str">
        <f>IF(DATA_INPUT!B865="","",DATA_INPUT!B865)</f>
        <v/>
      </c>
      <c r="D1442" t="str">
        <f>IF(DATA_INPUT!C865="","",DATA_INPUT!C865)</f>
        <v/>
      </c>
      <c r="E1442" s="27" t="str">
        <f>IF(DATA_INPUT!D865="","",DATA_INPUT!D865)</f>
        <v/>
      </c>
      <c r="F1442" t="str">
        <f t="shared" si="40"/>
        <v/>
      </c>
      <c r="G1442" t="str">
        <f t="shared" si="41"/>
        <v/>
      </c>
    </row>
    <row r="1443" spans="1:7">
      <c r="A1443" s="10" t="str">
        <f>IF(DATA_INPUT!A866="","",DATA_INPUT!A866)</f>
        <v/>
      </c>
      <c r="B1443" t="str">
        <f t="shared" si="39"/>
        <v/>
      </c>
      <c r="C1443" t="str">
        <f>IF(DATA_INPUT!B866="","",DATA_INPUT!B866)</f>
        <v/>
      </c>
      <c r="D1443" t="str">
        <f>IF(DATA_INPUT!C866="","",DATA_INPUT!C866)</f>
        <v/>
      </c>
      <c r="E1443" s="27" t="str">
        <f>IF(DATA_INPUT!D866="","",DATA_INPUT!D866)</f>
        <v/>
      </c>
      <c r="F1443" t="str">
        <f t="shared" si="40"/>
        <v/>
      </c>
      <c r="G1443" t="str">
        <f t="shared" si="41"/>
        <v/>
      </c>
    </row>
    <row r="1444" spans="1:7">
      <c r="A1444" s="10" t="str">
        <f>IF(DATA_INPUT!A867="","",DATA_INPUT!A867)</f>
        <v/>
      </c>
      <c r="B1444" t="str">
        <f t="shared" si="39"/>
        <v/>
      </c>
      <c r="C1444" t="str">
        <f>IF(DATA_INPUT!B867="","",DATA_INPUT!B867)</f>
        <v/>
      </c>
      <c r="D1444" t="str">
        <f>IF(DATA_INPUT!C867="","",DATA_INPUT!C867)</f>
        <v/>
      </c>
      <c r="E1444" s="27" t="str">
        <f>IF(DATA_INPUT!D867="","",DATA_INPUT!D867)</f>
        <v/>
      </c>
      <c r="F1444" t="str">
        <f t="shared" si="40"/>
        <v/>
      </c>
      <c r="G1444" t="str">
        <f t="shared" si="41"/>
        <v/>
      </c>
    </row>
    <row r="1445" spans="1:7">
      <c r="A1445" s="10" t="str">
        <f>IF(DATA_INPUT!A868="","",DATA_INPUT!A868)</f>
        <v/>
      </c>
      <c r="B1445" t="str">
        <f t="shared" si="39"/>
        <v/>
      </c>
      <c r="C1445" t="str">
        <f>IF(DATA_INPUT!B868="","",DATA_INPUT!B868)</f>
        <v/>
      </c>
      <c r="D1445" t="str">
        <f>IF(DATA_INPUT!C868="","",DATA_INPUT!C868)</f>
        <v/>
      </c>
      <c r="E1445" s="27" t="str">
        <f>IF(DATA_INPUT!D868="","",DATA_INPUT!D868)</f>
        <v/>
      </c>
      <c r="F1445" t="str">
        <f t="shared" si="40"/>
        <v/>
      </c>
      <c r="G1445" t="str">
        <f t="shared" si="41"/>
        <v/>
      </c>
    </row>
    <row r="1446" spans="1:7">
      <c r="A1446" s="10" t="str">
        <f>IF(DATA_INPUT!A869="","",DATA_INPUT!A869)</f>
        <v/>
      </c>
      <c r="B1446" t="str">
        <f t="shared" si="39"/>
        <v/>
      </c>
      <c r="C1446" t="str">
        <f>IF(DATA_INPUT!B869="","",DATA_INPUT!B869)</f>
        <v/>
      </c>
      <c r="D1446" t="str">
        <f>IF(DATA_INPUT!C869="","",DATA_INPUT!C869)</f>
        <v/>
      </c>
      <c r="E1446" s="27" t="str">
        <f>IF(DATA_INPUT!D869="","",DATA_INPUT!D869)</f>
        <v/>
      </c>
      <c r="F1446" t="str">
        <f t="shared" si="40"/>
        <v/>
      </c>
      <c r="G1446" t="str">
        <f t="shared" si="41"/>
        <v/>
      </c>
    </row>
    <row r="1447" spans="1:7">
      <c r="A1447" s="10" t="str">
        <f>IF(DATA_INPUT!A870="","",DATA_INPUT!A870)</f>
        <v/>
      </c>
      <c r="B1447" t="str">
        <f t="shared" si="39"/>
        <v/>
      </c>
      <c r="C1447" t="str">
        <f>IF(DATA_INPUT!B870="","",DATA_INPUT!B870)</f>
        <v/>
      </c>
      <c r="D1447" t="str">
        <f>IF(DATA_INPUT!C870="","",DATA_INPUT!C870)</f>
        <v/>
      </c>
      <c r="E1447" s="27" t="str">
        <f>IF(DATA_INPUT!D870="","",DATA_INPUT!D870)</f>
        <v/>
      </c>
      <c r="F1447" t="str">
        <f t="shared" si="40"/>
        <v/>
      </c>
      <c r="G1447" t="str">
        <f t="shared" si="41"/>
        <v/>
      </c>
    </row>
    <row r="1448" spans="1:7">
      <c r="A1448" s="10" t="str">
        <f>IF(DATA_INPUT!A871="","",DATA_INPUT!A871)</f>
        <v/>
      </c>
      <c r="B1448" t="str">
        <f t="shared" si="39"/>
        <v/>
      </c>
      <c r="C1448" t="str">
        <f>IF(DATA_INPUT!B871="","",DATA_INPUT!B871)</f>
        <v/>
      </c>
      <c r="D1448" t="str">
        <f>IF(DATA_INPUT!C871="","",DATA_INPUT!C871)</f>
        <v/>
      </c>
      <c r="E1448" s="27" t="str">
        <f>IF(DATA_INPUT!D871="","",DATA_INPUT!D871)</f>
        <v/>
      </c>
      <c r="F1448" t="str">
        <f t="shared" si="40"/>
        <v/>
      </c>
      <c r="G1448" t="str">
        <f t="shared" si="41"/>
        <v/>
      </c>
    </row>
    <row r="1449" spans="1:7">
      <c r="A1449" s="10" t="str">
        <f>IF(DATA_INPUT!A872="","",DATA_INPUT!A872)</f>
        <v/>
      </c>
      <c r="B1449" t="str">
        <f t="shared" si="39"/>
        <v/>
      </c>
      <c r="C1449" t="str">
        <f>IF(DATA_INPUT!B872="","",DATA_INPUT!B872)</f>
        <v/>
      </c>
      <c r="D1449" t="str">
        <f>IF(DATA_INPUT!C872="","",DATA_INPUT!C872)</f>
        <v/>
      </c>
      <c r="E1449" s="27" t="str">
        <f>IF(DATA_INPUT!D872="","",DATA_INPUT!D872)</f>
        <v/>
      </c>
      <c r="F1449" t="str">
        <f t="shared" si="40"/>
        <v/>
      </c>
      <c r="G1449" t="str">
        <f t="shared" si="41"/>
        <v/>
      </c>
    </row>
    <row r="1450" spans="1:7">
      <c r="A1450" s="10" t="str">
        <f>IF(DATA_INPUT!A873="","",DATA_INPUT!A873)</f>
        <v/>
      </c>
      <c r="B1450" t="str">
        <f t="shared" si="39"/>
        <v/>
      </c>
      <c r="C1450" t="str">
        <f>IF(DATA_INPUT!B873="","",DATA_INPUT!B873)</f>
        <v/>
      </c>
      <c r="D1450" t="str">
        <f>IF(DATA_INPUT!C873="","",DATA_INPUT!C873)</f>
        <v/>
      </c>
      <c r="E1450" s="27" t="str">
        <f>IF(DATA_INPUT!D873="","",DATA_INPUT!D873)</f>
        <v/>
      </c>
      <c r="F1450" t="str">
        <f t="shared" si="40"/>
        <v/>
      </c>
      <c r="G1450" t="str">
        <f t="shared" si="41"/>
        <v/>
      </c>
    </row>
    <row r="1451" spans="1:7">
      <c r="A1451" s="10" t="str">
        <f>IF(DATA_INPUT!A874="","",DATA_INPUT!A874)</f>
        <v/>
      </c>
      <c r="B1451" t="str">
        <f t="shared" si="39"/>
        <v/>
      </c>
      <c r="C1451" t="str">
        <f>IF(DATA_INPUT!B874="","",DATA_INPUT!B874)</f>
        <v/>
      </c>
      <c r="D1451" t="str">
        <f>IF(DATA_INPUT!C874="","",DATA_INPUT!C874)</f>
        <v/>
      </c>
      <c r="E1451" s="27" t="str">
        <f>IF(DATA_INPUT!D874="","",DATA_INPUT!D874)</f>
        <v/>
      </c>
      <c r="F1451" t="str">
        <f t="shared" si="40"/>
        <v/>
      </c>
      <c r="G1451" t="str">
        <f t="shared" si="41"/>
        <v/>
      </c>
    </row>
    <row r="1452" spans="1:7">
      <c r="A1452" s="10" t="str">
        <f>IF(DATA_INPUT!A875="","",DATA_INPUT!A875)</f>
        <v/>
      </c>
      <c r="B1452" t="str">
        <f t="shared" si="39"/>
        <v/>
      </c>
      <c r="C1452" t="str">
        <f>IF(DATA_INPUT!B875="","",DATA_INPUT!B875)</f>
        <v/>
      </c>
      <c r="D1452" t="str">
        <f>IF(DATA_INPUT!C875="","",DATA_INPUT!C875)</f>
        <v/>
      </c>
      <c r="E1452" s="27" t="str">
        <f>IF(DATA_INPUT!D875="","",DATA_INPUT!D875)</f>
        <v/>
      </c>
      <c r="F1452" t="str">
        <f t="shared" si="40"/>
        <v/>
      </c>
      <c r="G1452" t="str">
        <f t="shared" si="41"/>
        <v/>
      </c>
    </row>
    <row r="1453" spans="1:7">
      <c r="A1453" s="10" t="str">
        <f>IF(DATA_INPUT!A876="","",DATA_INPUT!A876)</f>
        <v/>
      </c>
      <c r="B1453" t="str">
        <f t="shared" si="39"/>
        <v/>
      </c>
      <c r="C1453" t="str">
        <f>IF(DATA_INPUT!B876="","",DATA_INPUT!B876)</f>
        <v/>
      </c>
      <c r="D1453" t="str">
        <f>IF(DATA_INPUT!C876="","",DATA_INPUT!C876)</f>
        <v/>
      </c>
      <c r="E1453" s="27" t="str">
        <f>IF(DATA_INPUT!D876="","",DATA_INPUT!D876)</f>
        <v/>
      </c>
      <c r="F1453" t="str">
        <f t="shared" si="40"/>
        <v/>
      </c>
      <c r="G1453" t="str">
        <f t="shared" si="41"/>
        <v/>
      </c>
    </row>
    <row r="1454" spans="1:7">
      <c r="A1454" s="10" t="str">
        <f>IF(DATA_INPUT!A877="","",DATA_INPUT!A877)</f>
        <v/>
      </c>
      <c r="B1454" t="str">
        <f t="shared" si="39"/>
        <v/>
      </c>
      <c r="C1454" t="str">
        <f>IF(DATA_INPUT!B877="","",DATA_INPUT!B877)</f>
        <v/>
      </c>
      <c r="D1454" t="str">
        <f>IF(DATA_INPUT!C877="","",DATA_INPUT!C877)</f>
        <v/>
      </c>
      <c r="E1454" s="27" t="str">
        <f>IF(DATA_INPUT!D877="","",DATA_INPUT!D877)</f>
        <v/>
      </c>
      <c r="F1454" t="str">
        <f t="shared" si="40"/>
        <v/>
      </c>
      <c r="G1454" t="str">
        <f t="shared" si="41"/>
        <v/>
      </c>
    </row>
    <row r="1455" spans="1:7">
      <c r="A1455" s="10" t="str">
        <f>IF(DATA_INPUT!A878="","",DATA_INPUT!A878)</f>
        <v/>
      </c>
      <c r="B1455" t="str">
        <f t="shared" si="39"/>
        <v/>
      </c>
      <c r="C1455" t="str">
        <f>IF(DATA_INPUT!B878="","",DATA_INPUT!B878)</f>
        <v/>
      </c>
      <c r="D1455" t="str">
        <f>IF(DATA_INPUT!C878="","",DATA_INPUT!C878)</f>
        <v/>
      </c>
      <c r="E1455" s="27" t="str">
        <f>IF(DATA_INPUT!D878="","",DATA_INPUT!D878)</f>
        <v/>
      </c>
      <c r="F1455" t="str">
        <f t="shared" si="40"/>
        <v/>
      </c>
      <c r="G1455" t="str">
        <f t="shared" si="41"/>
        <v/>
      </c>
    </row>
    <row r="1456" spans="1:7">
      <c r="A1456" s="10" t="str">
        <f>IF(DATA_INPUT!A879="","",DATA_INPUT!A879)</f>
        <v/>
      </c>
      <c r="B1456" t="str">
        <f t="shared" si="39"/>
        <v/>
      </c>
      <c r="C1456" t="str">
        <f>IF(DATA_INPUT!B879="","",DATA_INPUT!B879)</f>
        <v/>
      </c>
      <c r="D1456" t="str">
        <f>IF(DATA_INPUT!C879="","",DATA_INPUT!C879)</f>
        <v/>
      </c>
      <c r="E1456" s="27" t="str">
        <f>IF(DATA_INPUT!D879="","",DATA_INPUT!D879)</f>
        <v/>
      </c>
      <c r="F1456" t="str">
        <f t="shared" si="40"/>
        <v/>
      </c>
      <c r="G1456" t="str">
        <f t="shared" si="41"/>
        <v/>
      </c>
    </row>
    <row r="1457" spans="1:7">
      <c r="A1457" s="10" t="str">
        <f>IF(DATA_INPUT!A880="","",DATA_INPUT!A880)</f>
        <v/>
      </c>
      <c r="B1457" t="str">
        <f t="shared" si="39"/>
        <v/>
      </c>
      <c r="C1457" t="str">
        <f>IF(DATA_INPUT!B880="","",DATA_INPUT!B880)</f>
        <v/>
      </c>
      <c r="D1457" t="str">
        <f>IF(DATA_INPUT!C880="","",DATA_INPUT!C880)</f>
        <v/>
      </c>
      <c r="E1457" s="27" t="str">
        <f>IF(DATA_INPUT!D880="","",DATA_INPUT!D880)</f>
        <v/>
      </c>
      <c r="F1457" t="str">
        <f t="shared" si="40"/>
        <v/>
      </c>
      <c r="G1457" t="str">
        <f t="shared" si="41"/>
        <v/>
      </c>
    </row>
    <row r="1458" spans="1:7">
      <c r="A1458" s="10" t="str">
        <f>IF(DATA_INPUT!A881="","",DATA_INPUT!A881)</f>
        <v/>
      </c>
      <c r="B1458" t="str">
        <f t="shared" si="39"/>
        <v/>
      </c>
      <c r="C1458" t="str">
        <f>IF(DATA_INPUT!B881="","",DATA_INPUT!B881)</f>
        <v/>
      </c>
      <c r="D1458" t="str">
        <f>IF(DATA_INPUT!C881="","",DATA_INPUT!C881)</f>
        <v/>
      </c>
      <c r="E1458" s="27" t="str">
        <f>IF(DATA_INPUT!D881="","",DATA_INPUT!D881)</f>
        <v/>
      </c>
      <c r="F1458" t="str">
        <f t="shared" si="40"/>
        <v/>
      </c>
      <c r="G1458" t="str">
        <f t="shared" si="41"/>
        <v/>
      </c>
    </row>
    <row r="1459" spans="1:7">
      <c r="A1459" s="10" t="str">
        <f>IF(DATA_INPUT!A882="","",DATA_INPUT!A882)</f>
        <v/>
      </c>
      <c r="B1459" t="str">
        <f t="shared" si="39"/>
        <v/>
      </c>
      <c r="C1459" t="str">
        <f>IF(DATA_INPUT!B882="","",DATA_INPUT!B882)</f>
        <v/>
      </c>
      <c r="D1459" t="str">
        <f>IF(DATA_INPUT!C882="","",DATA_INPUT!C882)</f>
        <v/>
      </c>
      <c r="E1459" s="27" t="str">
        <f>IF(DATA_INPUT!D882="","",DATA_INPUT!D882)</f>
        <v/>
      </c>
      <c r="F1459" t="str">
        <f t="shared" si="40"/>
        <v/>
      </c>
      <c r="G1459" t="str">
        <f t="shared" si="41"/>
        <v/>
      </c>
    </row>
    <row r="1460" spans="1:7">
      <c r="A1460" s="10" t="str">
        <f>IF(DATA_INPUT!A883="","",DATA_INPUT!A883)</f>
        <v/>
      </c>
      <c r="B1460" t="str">
        <f t="shared" si="39"/>
        <v/>
      </c>
      <c r="C1460" t="str">
        <f>IF(DATA_INPUT!B883="","",DATA_INPUT!B883)</f>
        <v/>
      </c>
      <c r="D1460" t="str">
        <f>IF(DATA_INPUT!C883="","",DATA_INPUT!C883)</f>
        <v/>
      </c>
      <c r="E1460" s="27" t="str">
        <f>IF(DATA_INPUT!D883="","",DATA_INPUT!D883)</f>
        <v/>
      </c>
      <c r="F1460" t="str">
        <f t="shared" si="40"/>
        <v/>
      </c>
      <c r="G1460" t="str">
        <f t="shared" si="41"/>
        <v/>
      </c>
    </row>
    <row r="1461" spans="1:7">
      <c r="A1461" s="10" t="str">
        <f>IF(DATA_INPUT!A884="","",DATA_INPUT!A884)</f>
        <v/>
      </c>
      <c r="B1461" t="str">
        <f t="shared" si="39"/>
        <v/>
      </c>
      <c r="C1461" t="str">
        <f>IF(DATA_INPUT!B884="","",DATA_INPUT!B884)</f>
        <v/>
      </c>
      <c r="D1461" t="str">
        <f>IF(DATA_INPUT!C884="","",DATA_INPUT!C884)</f>
        <v/>
      </c>
      <c r="E1461" s="27" t="str">
        <f>IF(DATA_INPUT!D884="","",DATA_INPUT!D884)</f>
        <v/>
      </c>
      <c r="F1461" t="str">
        <f t="shared" si="40"/>
        <v/>
      </c>
      <c r="G1461" t="str">
        <f t="shared" si="41"/>
        <v/>
      </c>
    </row>
    <row r="1462" spans="1:7">
      <c r="A1462" s="10" t="str">
        <f>IF(DATA_INPUT!A885="","",DATA_INPUT!A885)</f>
        <v/>
      </c>
      <c r="B1462" t="str">
        <f t="shared" si="39"/>
        <v/>
      </c>
      <c r="C1462" t="str">
        <f>IF(DATA_INPUT!B885="","",DATA_INPUT!B885)</f>
        <v/>
      </c>
      <c r="D1462" t="str">
        <f>IF(DATA_INPUT!C885="","",DATA_INPUT!C885)</f>
        <v/>
      </c>
      <c r="E1462" s="27" t="str">
        <f>IF(DATA_INPUT!D885="","",DATA_INPUT!D885)</f>
        <v/>
      </c>
      <c r="F1462" t="str">
        <f t="shared" si="40"/>
        <v/>
      </c>
      <c r="G1462" t="str">
        <f t="shared" si="41"/>
        <v/>
      </c>
    </row>
    <row r="1463" spans="1:7">
      <c r="A1463" s="10" t="str">
        <f>IF(DATA_INPUT!A886="","",DATA_INPUT!A886)</f>
        <v/>
      </c>
      <c r="B1463" t="str">
        <f t="shared" si="39"/>
        <v/>
      </c>
      <c r="C1463" t="str">
        <f>IF(DATA_INPUT!B886="","",DATA_INPUT!B886)</f>
        <v/>
      </c>
      <c r="D1463" t="str">
        <f>IF(DATA_INPUT!C886="","",DATA_INPUT!C886)</f>
        <v/>
      </c>
      <c r="E1463" s="27" t="str">
        <f>IF(DATA_INPUT!D886="","",DATA_INPUT!D886)</f>
        <v/>
      </c>
      <c r="F1463" t="str">
        <f t="shared" si="40"/>
        <v/>
      </c>
      <c r="G1463" t="str">
        <f t="shared" si="41"/>
        <v/>
      </c>
    </row>
    <row r="1464" spans="1:7">
      <c r="A1464" s="10" t="str">
        <f>IF(DATA_INPUT!A887="","",DATA_INPUT!A887)</f>
        <v/>
      </c>
      <c r="B1464" t="str">
        <f t="shared" si="39"/>
        <v/>
      </c>
      <c r="C1464" t="str">
        <f>IF(DATA_INPUT!B887="","",DATA_INPUT!B887)</f>
        <v/>
      </c>
      <c r="D1464" t="str">
        <f>IF(DATA_INPUT!C887="","",DATA_INPUT!C887)</f>
        <v/>
      </c>
      <c r="E1464" s="27" t="str">
        <f>IF(DATA_INPUT!D887="","",DATA_INPUT!D887)</f>
        <v/>
      </c>
      <c r="F1464" t="str">
        <f t="shared" si="40"/>
        <v/>
      </c>
      <c r="G1464" t="str">
        <f t="shared" si="41"/>
        <v/>
      </c>
    </row>
    <row r="1465" spans="1:7">
      <c r="A1465" s="10" t="str">
        <f>IF(DATA_INPUT!A888="","",DATA_INPUT!A888)</f>
        <v/>
      </c>
      <c r="B1465" t="str">
        <f t="shared" si="39"/>
        <v/>
      </c>
      <c r="C1465" t="str">
        <f>IF(DATA_INPUT!B888="","",DATA_INPUT!B888)</f>
        <v/>
      </c>
      <c r="D1465" t="str">
        <f>IF(DATA_INPUT!C888="","",DATA_INPUT!C888)</f>
        <v/>
      </c>
      <c r="E1465" s="27" t="str">
        <f>IF(DATA_INPUT!D888="","",DATA_INPUT!D888)</f>
        <v/>
      </c>
      <c r="F1465" t="str">
        <f t="shared" si="40"/>
        <v/>
      </c>
      <c r="G1465" t="str">
        <f t="shared" si="41"/>
        <v/>
      </c>
    </row>
    <row r="1466" spans="1:7">
      <c r="A1466" s="10" t="str">
        <f>IF(DATA_INPUT!A889="","",DATA_INPUT!A889)</f>
        <v/>
      </c>
      <c r="B1466" t="str">
        <f t="shared" si="39"/>
        <v/>
      </c>
      <c r="C1466" t="str">
        <f>IF(DATA_INPUT!B889="","",DATA_INPUT!B889)</f>
        <v/>
      </c>
      <c r="D1466" t="str">
        <f>IF(DATA_INPUT!C889="","",DATA_INPUT!C889)</f>
        <v/>
      </c>
      <c r="E1466" s="27" t="str">
        <f>IF(DATA_INPUT!D889="","",DATA_INPUT!D889)</f>
        <v/>
      </c>
      <c r="F1466" t="str">
        <f t="shared" si="40"/>
        <v/>
      </c>
      <c r="G1466" t="str">
        <f t="shared" si="41"/>
        <v/>
      </c>
    </row>
    <row r="1467" spans="1:7">
      <c r="A1467" s="10" t="str">
        <f>IF(DATA_INPUT!A890="","",DATA_INPUT!A890)</f>
        <v/>
      </c>
      <c r="B1467" t="str">
        <f t="shared" si="39"/>
        <v/>
      </c>
      <c r="C1467" t="str">
        <f>IF(DATA_INPUT!B890="","",DATA_INPUT!B890)</f>
        <v/>
      </c>
      <c r="D1467" t="str">
        <f>IF(DATA_INPUT!C890="","",DATA_INPUT!C890)</f>
        <v/>
      </c>
      <c r="E1467" s="27" t="str">
        <f>IF(DATA_INPUT!D890="","",DATA_INPUT!D890)</f>
        <v/>
      </c>
      <c r="F1467" t="str">
        <f t="shared" si="40"/>
        <v/>
      </c>
      <c r="G1467" t="str">
        <f t="shared" si="41"/>
        <v/>
      </c>
    </row>
    <row r="1468" spans="1:7">
      <c r="A1468" s="10" t="str">
        <f>IF(DATA_INPUT!A891="","",DATA_INPUT!A891)</f>
        <v/>
      </c>
      <c r="B1468" t="str">
        <f t="shared" si="39"/>
        <v/>
      </c>
      <c r="C1468" t="str">
        <f>IF(DATA_INPUT!B891="","",DATA_INPUT!B891)</f>
        <v/>
      </c>
      <c r="D1468" t="str">
        <f>IF(DATA_INPUT!C891="","",DATA_INPUT!C891)</f>
        <v/>
      </c>
      <c r="E1468" s="27" t="str">
        <f>IF(DATA_INPUT!D891="","",DATA_INPUT!D891)</f>
        <v/>
      </c>
      <c r="F1468" t="str">
        <f t="shared" si="40"/>
        <v/>
      </c>
      <c r="G1468" t="str">
        <f t="shared" si="41"/>
        <v/>
      </c>
    </row>
    <row r="1469" spans="1:7">
      <c r="A1469" s="10" t="str">
        <f>IF(DATA_INPUT!A892="","",DATA_INPUT!A892)</f>
        <v/>
      </c>
      <c r="B1469" t="str">
        <f t="shared" si="39"/>
        <v/>
      </c>
      <c r="C1469" t="str">
        <f>IF(DATA_INPUT!B892="","",DATA_INPUT!B892)</f>
        <v/>
      </c>
      <c r="D1469" t="str">
        <f>IF(DATA_INPUT!C892="","",DATA_INPUT!C892)</f>
        <v/>
      </c>
      <c r="E1469" s="27" t="str">
        <f>IF(DATA_INPUT!D892="","",DATA_INPUT!D892)</f>
        <v/>
      </c>
      <c r="F1469" t="str">
        <f t="shared" si="40"/>
        <v/>
      </c>
      <c r="G1469" t="str">
        <f t="shared" si="41"/>
        <v/>
      </c>
    </row>
    <row r="1470" spans="1:7">
      <c r="A1470" s="10" t="str">
        <f>IF(DATA_INPUT!A893="","",DATA_INPUT!A893)</f>
        <v/>
      </c>
      <c r="B1470" t="str">
        <f t="shared" si="39"/>
        <v/>
      </c>
      <c r="C1470" t="str">
        <f>IF(DATA_INPUT!B893="","",DATA_INPUT!B893)</f>
        <v/>
      </c>
      <c r="D1470" t="str">
        <f>IF(DATA_INPUT!C893="","",DATA_INPUT!C893)</f>
        <v/>
      </c>
      <c r="E1470" s="27" t="str">
        <f>IF(DATA_INPUT!D893="","",DATA_INPUT!D893)</f>
        <v/>
      </c>
      <c r="F1470" t="str">
        <f t="shared" si="40"/>
        <v/>
      </c>
      <c r="G1470" t="str">
        <f t="shared" si="41"/>
        <v/>
      </c>
    </row>
    <row r="1471" spans="1:7">
      <c r="A1471" s="10" t="str">
        <f>IF(DATA_INPUT!A894="","",DATA_INPUT!A894)</f>
        <v/>
      </c>
      <c r="B1471" t="str">
        <f t="shared" si="39"/>
        <v/>
      </c>
      <c r="C1471" t="str">
        <f>IF(DATA_INPUT!B894="","",DATA_INPUT!B894)</f>
        <v/>
      </c>
      <c r="D1471" t="str">
        <f>IF(DATA_INPUT!C894="","",DATA_INPUT!C894)</f>
        <v/>
      </c>
      <c r="E1471" s="27" t="str">
        <f>IF(DATA_INPUT!D894="","",DATA_INPUT!D894)</f>
        <v/>
      </c>
      <c r="F1471" t="str">
        <f t="shared" si="40"/>
        <v/>
      </c>
      <c r="G1471" t="str">
        <f t="shared" si="41"/>
        <v/>
      </c>
    </row>
    <row r="1472" spans="1:7">
      <c r="A1472" s="10" t="str">
        <f>IF(DATA_INPUT!A895="","",DATA_INPUT!A895)</f>
        <v/>
      </c>
      <c r="B1472" t="str">
        <f t="shared" si="39"/>
        <v/>
      </c>
      <c r="C1472" t="str">
        <f>IF(DATA_INPUT!B895="","",DATA_INPUT!B895)</f>
        <v/>
      </c>
      <c r="D1472" t="str">
        <f>IF(DATA_INPUT!C895="","",DATA_INPUT!C895)</f>
        <v/>
      </c>
      <c r="E1472" s="27" t="str">
        <f>IF(DATA_INPUT!D895="","",DATA_INPUT!D895)</f>
        <v/>
      </c>
      <c r="F1472" t="str">
        <f t="shared" si="40"/>
        <v/>
      </c>
      <c r="G1472" t="str">
        <f t="shared" si="41"/>
        <v/>
      </c>
    </row>
    <row r="1473" spans="1:7">
      <c r="A1473" s="10" t="str">
        <f>IF(DATA_INPUT!A896="","",DATA_INPUT!A896)</f>
        <v/>
      </c>
      <c r="B1473" t="str">
        <f t="shared" si="39"/>
        <v/>
      </c>
      <c r="C1473" t="str">
        <f>IF(DATA_INPUT!B896="","",DATA_INPUT!B896)</f>
        <v/>
      </c>
      <c r="D1473" t="str">
        <f>IF(DATA_INPUT!C896="","",DATA_INPUT!C896)</f>
        <v/>
      </c>
      <c r="E1473" s="27" t="str">
        <f>IF(DATA_INPUT!D896="","",DATA_INPUT!D896)</f>
        <v/>
      </c>
      <c r="F1473" t="str">
        <f t="shared" si="40"/>
        <v/>
      </c>
      <c r="G1473" t="str">
        <f t="shared" si="41"/>
        <v/>
      </c>
    </row>
    <row r="1474" spans="1:7">
      <c r="A1474" s="10" t="str">
        <f>IF(DATA_INPUT!A897="","",DATA_INPUT!A897)</f>
        <v/>
      </c>
      <c r="B1474" t="str">
        <f t="shared" si="39"/>
        <v/>
      </c>
      <c r="C1474" t="str">
        <f>IF(DATA_INPUT!B897="","",DATA_INPUT!B897)</f>
        <v/>
      </c>
      <c r="D1474" t="str">
        <f>IF(DATA_INPUT!C897="","",DATA_INPUT!C897)</f>
        <v/>
      </c>
      <c r="E1474" s="27" t="str">
        <f>IF(DATA_INPUT!D897="","",DATA_INPUT!D897)</f>
        <v/>
      </c>
      <c r="F1474" t="str">
        <f t="shared" si="40"/>
        <v/>
      </c>
      <c r="G1474" t="str">
        <f t="shared" si="41"/>
        <v/>
      </c>
    </row>
    <row r="1475" spans="1:7">
      <c r="A1475" s="10" t="str">
        <f>IF(DATA_INPUT!A898="","",DATA_INPUT!A898)</f>
        <v/>
      </c>
      <c r="B1475" t="str">
        <f t="shared" si="39"/>
        <v/>
      </c>
      <c r="C1475" t="str">
        <f>IF(DATA_INPUT!B898="","",DATA_INPUT!B898)</f>
        <v/>
      </c>
      <c r="D1475" t="str">
        <f>IF(DATA_INPUT!C898="","",DATA_INPUT!C898)</f>
        <v/>
      </c>
      <c r="E1475" s="27" t="str">
        <f>IF(DATA_INPUT!D898="","",DATA_INPUT!D898)</f>
        <v/>
      </c>
      <c r="F1475" t="str">
        <f t="shared" si="40"/>
        <v/>
      </c>
      <c r="G1475" t="str">
        <f t="shared" si="41"/>
        <v/>
      </c>
    </row>
    <row r="1476" spans="1:7">
      <c r="A1476" s="10" t="str">
        <f>IF(DATA_INPUT!A899="","",DATA_INPUT!A899)</f>
        <v/>
      </c>
      <c r="B1476" t="str">
        <f t="shared" ref="B1476:B1539" si="42">IF(A1476="","",TEXT(A1476,"dddd"))</f>
        <v/>
      </c>
      <c r="C1476" t="str">
        <f>IF(DATA_INPUT!B899="","",DATA_INPUT!B899)</f>
        <v/>
      </c>
      <c r="D1476" t="str">
        <f>IF(DATA_INPUT!C899="","",DATA_INPUT!C899)</f>
        <v/>
      </c>
      <c r="E1476" s="27" t="str">
        <f>IF(DATA_INPUT!D899="","",DATA_INPUT!D899)</f>
        <v/>
      </c>
      <c r="F1476" t="str">
        <f t="shared" ref="F1476:F1539" si="43">IF(A1476="","",TEXT(A1476,"mmm yyyy"))</f>
        <v/>
      </c>
      <c r="G1476" t="str">
        <f t="shared" ref="G1476:G1539" si="44">IF(A1476="","",WEEKNUM(A1476))</f>
        <v/>
      </c>
    </row>
    <row r="1477" spans="1:7">
      <c r="A1477" s="10" t="str">
        <f>IF(DATA_INPUT!A900="","",DATA_INPUT!A900)</f>
        <v/>
      </c>
      <c r="B1477" t="str">
        <f t="shared" si="42"/>
        <v/>
      </c>
      <c r="C1477" t="str">
        <f>IF(DATA_INPUT!B900="","",DATA_INPUT!B900)</f>
        <v/>
      </c>
      <c r="D1477" t="str">
        <f>IF(DATA_INPUT!C900="","",DATA_INPUT!C900)</f>
        <v/>
      </c>
      <c r="E1477" s="27" t="str">
        <f>IF(DATA_INPUT!D900="","",DATA_INPUT!D900)</f>
        <v/>
      </c>
      <c r="F1477" t="str">
        <f t="shared" si="43"/>
        <v/>
      </c>
      <c r="G1477" t="str">
        <f t="shared" si="44"/>
        <v/>
      </c>
    </row>
    <row r="1478" spans="1:7">
      <c r="A1478" s="10" t="str">
        <f>IF(DATA_INPUT!A901="","",DATA_INPUT!A901)</f>
        <v/>
      </c>
      <c r="B1478" t="str">
        <f t="shared" si="42"/>
        <v/>
      </c>
      <c r="C1478" t="str">
        <f>IF(DATA_INPUT!B901="","",DATA_INPUT!B901)</f>
        <v/>
      </c>
      <c r="D1478" t="str">
        <f>IF(DATA_INPUT!C901="","",DATA_INPUT!C901)</f>
        <v/>
      </c>
      <c r="E1478" s="27" t="str">
        <f>IF(DATA_INPUT!D901="","",DATA_INPUT!D901)</f>
        <v/>
      </c>
      <c r="F1478" t="str">
        <f t="shared" si="43"/>
        <v/>
      </c>
      <c r="G1478" t="str">
        <f t="shared" si="44"/>
        <v/>
      </c>
    </row>
    <row r="1479" spans="1:7">
      <c r="A1479" s="10" t="str">
        <f>IF(DATA_INPUT!A902="","",DATA_INPUT!A902)</f>
        <v/>
      </c>
      <c r="B1479" t="str">
        <f t="shared" si="42"/>
        <v/>
      </c>
      <c r="C1479" t="str">
        <f>IF(DATA_INPUT!B902="","",DATA_INPUT!B902)</f>
        <v/>
      </c>
      <c r="D1479" t="str">
        <f>IF(DATA_INPUT!C902="","",DATA_INPUT!C902)</f>
        <v/>
      </c>
      <c r="E1479" s="27" t="str">
        <f>IF(DATA_INPUT!D902="","",DATA_INPUT!D902)</f>
        <v/>
      </c>
      <c r="F1479" t="str">
        <f t="shared" si="43"/>
        <v/>
      </c>
      <c r="G1479" t="str">
        <f t="shared" si="44"/>
        <v/>
      </c>
    </row>
    <row r="1480" spans="1:7">
      <c r="A1480" s="10" t="str">
        <f>IF(DATA_INPUT!A903="","",DATA_INPUT!A903)</f>
        <v/>
      </c>
      <c r="B1480" t="str">
        <f t="shared" si="42"/>
        <v/>
      </c>
      <c r="C1480" t="str">
        <f>IF(DATA_INPUT!B903="","",DATA_INPUT!B903)</f>
        <v/>
      </c>
      <c r="D1480" t="str">
        <f>IF(DATA_INPUT!C903="","",DATA_INPUT!C903)</f>
        <v/>
      </c>
      <c r="E1480" s="27" t="str">
        <f>IF(DATA_INPUT!D903="","",DATA_INPUT!D903)</f>
        <v/>
      </c>
      <c r="F1480" t="str">
        <f t="shared" si="43"/>
        <v/>
      </c>
      <c r="G1480" t="str">
        <f t="shared" si="44"/>
        <v/>
      </c>
    </row>
    <row r="1481" spans="1:7">
      <c r="A1481" s="10" t="str">
        <f>IF(DATA_INPUT!A904="","",DATA_INPUT!A904)</f>
        <v/>
      </c>
      <c r="B1481" t="str">
        <f t="shared" si="42"/>
        <v/>
      </c>
      <c r="C1481" t="str">
        <f>IF(DATA_INPUT!B904="","",DATA_INPUT!B904)</f>
        <v/>
      </c>
      <c r="D1481" t="str">
        <f>IF(DATA_INPUT!C904="","",DATA_INPUT!C904)</f>
        <v/>
      </c>
      <c r="E1481" s="27" t="str">
        <f>IF(DATA_INPUT!D904="","",DATA_INPUT!D904)</f>
        <v/>
      </c>
      <c r="F1481" t="str">
        <f t="shared" si="43"/>
        <v/>
      </c>
      <c r="G1481" t="str">
        <f t="shared" si="44"/>
        <v/>
      </c>
    </row>
    <row r="1482" spans="1:7">
      <c r="A1482" s="10" t="str">
        <f>IF(DATA_INPUT!A905="","",DATA_INPUT!A905)</f>
        <v/>
      </c>
      <c r="B1482" t="str">
        <f t="shared" si="42"/>
        <v/>
      </c>
      <c r="C1482" t="str">
        <f>IF(DATA_INPUT!B905="","",DATA_INPUT!B905)</f>
        <v/>
      </c>
      <c r="D1482" t="str">
        <f>IF(DATA_INPUT!C905="","",DATA_INPUT!C905)</f>
        <v/>
      </c>
      <c r="E1482" s="27" t="str">
        <f>IF(DATA_INPUT!D905="","",DATA_INPUT!D905)</f>
        <v/>
      </c>
      <c r="F1482" t="str">
        <f t="shared" si="43"/>
        <v/>
      </c>
      <c r="G1482" t="str">
        <f t="shared" si="44"/>
        <v/>
      </c>
    </row>
    <row r="1483" spans="1:7">
      <c r="A1483" s="10" t="str">
        <f>IF(DATA_INPUT!A906="","",DATA_INPUT!A906)</f>
        <v/>
      </c>
      <c r="B1483" t="str">
        <f t="shared" si="42"/>
        <v/>
      </c>
      <c r="C1483" t="str">
        <f>IF(DATA_INPUT!B906="","",DATA_INPUT!B906)</f>
        <v/>
      </c>
      <c r="D1483" t="str">
        <f>IF(DATA_INPUT!C906="","",DATA_INPUT!C906)</f>
        <v/>
      </c>
      <c r="E1483" s="27" t="str">
        <f>IF(DATA_INPUT!D906="","",DATA_INPUT!D906)</f>
        <v/>
      </c>
      <c r="F1483" t="str">
        <f t="shared" si="43"/>
        <v/>
      </c>
      <c r="G1483" t="str">
        <f t="shared" si="44"/>
        <v/>
      </c>
    </row>
    <row r="1484" spans="1:7">
      <c r="A1484" s="10" t="str">
        <f>IF(DATA_INPUT!A907="","",DATA_INPUT!A907)</f>
        <v/>
      </c>
      <c r="B1484" t="str">
        <f t="shared" si="42"/>
        <v/>
      </c>
      <c r="C1484" t="str">
        <f>IF(DATA_INPUT!B907="","",DATA_INPUT!B907)</f>
        <v/>
      </c>
      <c r="D1484" t="str">
        <f>IF(DATA_INPUT!C907="","",DATA_INPUT!C907)</f>
        <v/>
      </c>
      <c r="E1484" s="27" t="str">
        <f>IF(DATA_INPUT!D907="","",DATA_INPUT!D907)</f>
        <v/>
      </c>
      <c r="F1484" t="str">
        <f t="shared" si="43"/>
        <v/>
      </c>
      <c r="G1484" t="str">
        <f t="shared" si="44"/>
        <v/>
      </c>
    </row>
    <row r="1485" spans="1:7">
      <c r="A1485" s="10" t="str">
        <f>IF(DATA_INPUT!A908="","",DATA_INPUT!A908)</f>
        <v/>
      </c>
      <c r="B1485" t="str">
        <f t="shared" si="42"/>
        <v/>
      </c>
      <c r="C1485" t="str">
        <f>IF(DATA_INPUT!B908="","",DATA_INPUT!B908)</f>
        <v/>
      </c>
      <c r="D1485" t="str">
        <f>IF(DATA_INPUT!C908="","",DATA_INPUT!C908)</f>
        <v/>
      </c>
      <c r="E1485" s="27" t="str">
        <f>IF(DATA_INPUT!D908="","",DATA_INPUT!D908)</f>
        <v/>
      </c>
      <c r="F1485" t="str">
        <f t="shared" si="43"/>
        <v/>
      </c>
      <c r="G1485" t="str">
        <f t="shared" si="44"/>
        <v/>
      </c>
    </row>
    <row r="1486" spans="1:7">
      <c r="A1486" s="10" t="str">
        <f>IF(DATA_INPUT!A909="","",DATA_INPUT!A909)</f>
        <v/>
      </c>
      <c r="B1486" t="str">
        <f t="shared" si="42"/>
        <v/>
      </c>
      <c r="C1486" t="str">
        <f>IF(DATA_INPUT!B909="","",DATA_INPUT!B909)</f>
        <v/>
      </c>
      <c r="D1486" t="str">
        <f>IF(DATA_INPUT!C909="","",DATA_INPUT!C909)</f>
        <v/>
      </c>
      <c r="E1486" s="27" t="str">
        <f>IF(DATA_INPUT!D909="","",DATA_INPUT!D909)</f>
        <v/>
      </c>
      <c r="F1486" t="str">
        <f t="shared" si="43"/>
        <v/>
      </c>
      <c r="G1486" t="str">
        <f t="shared" si="44"/>
        <v/>
      </c>
    </row>
    <row r="1487" spans="1:7">
      <c r="A1487" s="10" t="str">
        <f>IF(DATA_INPUT!A910="","",DATA_INPUT!A910)</f>
        <v/>
      </c>
      <c r="B1487" t="str">
        <f t="shared" si="42"/>
        <v/>
      </c>
      <c r="C1487" t="str">
        <f>IF(DATA_INPUT!B910="","",DATA_INPUT!B910)</f>
        <v/>
      </c>
      <c r="D1487" t="str">
        <f>IF(DATA_INPUT!C910="","",DATA_INPUT!C910)</f>
        <v/>
      </c>
      <c r="E1487" s="27" t="str">
        <f>IF(DATA_INPUT!D910="","",DATA_INPUT!D910)</f>
        <v/>
      </c>
      <c r="F1487" t="str">
        <f t="shared" si="43"/>
        <v/>
      </c>
      <c r="G1487" t="str">
        <f t="shared" si="44"/>
        <v/>
      </c>
    </row>
    <row r="1488" spans="1:7">
      <c r="A1488" s="10" t="str">
        <f>IF(DATA_INPUT!A911="","",DATA_INPUT!A911)</f>
        <v/>
      </c>
      <c r="B1488" t="str">
        <f t="shared" si="42"/>
        <v/>
      </c>
      <c r="C1488" t="str">
        <f>IF(DATA_INPUT!B911="","",DATA_INPUT!B911)</f>
        <v/>
      </c>
      <c r="D1488" t="str">
        <f>IF(DATA_INPUT!C911="","",DATA_INPUT!C911)</f>
        <v/>
      </c>
      <c r="E1488" s="27" t="str">
        <f>IF(DATA_INPUT!D911="","",DATA_INPUT!D911)</f>
        <v/>
      </c>
      <c r="F1488" t="str">
        <f t="shared" si="43"/>
        <v/>
      </c>
      <c r="G1488" t="str">
        <f t="shared" si="44"/>
        <v/>
      </c>
    </row>
    <row r="1489" spans="1:7">
      <c r="A1489" s="10" t="str">
        <f>IF(DATA_INPUT!A912="","",DATA_INPUT!A912)</f>
        <v/>
      </c>
      <c r="B1489" t="str">
        <f t="shared" si="42"/>
        <v/>
      </c>
      <c r="C1489" t="str">
        <f>IF(DATA_INPUT!B912="","",DATA_INPUT!B912)</f>
        <v/>
      </c>
      <c r="D1489" t="str">
        <f>IF(DATA_INPUT!C912="","",DATA_INPUT!C912)</f>
        <v/>
      </c>
      <c r="E1489" s="27" t="str">
        <f>IF(DATA_INPUT!D912="","",DATA_INPUT!D912)</f>
        <v/>
      </c>
      <c r="F1489" t="str">
        <f t="shared" si="43"/>
        <v/>
      </c>
      <c r="G1489" t="str">
        <f t="shared" si="44"/>
        <v/>
      </c>
    </row>
    <row r="1490" spans="1:7">
      <c r="A1490" s="10" t="str">
        <f>IF(DATA_INPUT!A913="","",DATA_INPUT!A913)</f>
        <v/>
      </c>
      <c r="B1490" t="str">
        <f t="shared" si="42"/>
        <v/>
      </c>
      <c r="C1490" t="str">
        <f>IF(DATA_INPUT!B913="","",DATA_INPUT!B913)</f>
        <v/>
      </c>
      <c r="D1490" t="str">
        <f>IF(DATA_INPUT!C913="","",DATA_INPUT!C913)</f>
        <v/>
      </c>
      <c r="E1490" s="27" t="str">
        <f>IF(DATA_INPUT!D913="","",DATA_INPUT!D913)</f>
        <v/>
      </c>
      <c r="F1490" t="str">
        <f t="shared" si="43"/>
        <v/>
      </c>
      <c r="G1490" t="str">
        <f t="shared" si="44"/>
        <v/>
      </c>
    </row>
    <row r="1491" spans="1:7">
      <c r="A1491" s="10" t="str">
        <f>IF(DATA_INPUT!A914="","",DATA_INPUT!A914)</f>
        <v/>
      </c>
      <c r="B1491" t="str">
        <f t="shared" si="42"/>
        <v/>
      </c>
      <c r="C1491" t="str">
        <f>IF(DATA_INPUT!B914="","",DATA_INPUT!B914)</f>
        <v/>
      </c>
      <c r="D1491" t="str">
        <f>IF(DATA_INPUT!C914="","",DATA_INPUT!C914)</f>
        <v/>
      </c>
      <c r="E1491" s="27" t="str">
        <f>IF(DATA_INPUT!D914="","",DATA_INPUT!D914)</f>
        <v/>
      </c>
      <c r="F1491" t="str">
        <f t="shared" si="43"/>
        <v/>
      </c>
      <c r="G1491" t="str">
        <f t="shared" si="44"/>
        <v/>
      </c>
    </row>
    <row r="1492" spans="1:7">
      <c r="A1492" s="10" t="str">
        <f>IF(DATA_INPUT!A915="","",DATA_INPUT!A915)</f>
        <v/>
      </c>
      <c r="B1492" t="str">
        <f t="shared" si="42"/>
        <v/>
      </c>
      <c r="C1492" t="str">
        <f>IF(DATA_INPUT!B915="","",DATA_INPUT!B915)</f>
        <v/>
      </c>
      <c r="D1492" t="str">
        <f>IF(DATA_INPUT!C915="","",DATA_INPUT!C915)</f>
        <v/>
      </c>
      <c r="E1492" s="27" t="str">
        <f>IF(DATA_INPUT!D915="","",DATA_INPUT!D915)</f>
        <v/>
      </c>
      <c r="F1492" t="str">
        <f t="shared" si="43"/>
        <v/>
      </c>
      <c r="G1492" t="str">
        <f t="shared" si="44"/>
        <v/>
      </c>
    </row>
    <row r="1493" spans="1:7">
      <c r="A1493" s="10" t="str">
        <f>IF(DATA_INPUT!A916="","",DATA_INPUT!A916)</f>
        <v/>
      </c>
      <c r="B1493" t="str">
        <f t="shared" si="42"/>
        <v/>
      </c>
      <c r="C1493" t="str">
        <f>IF(DATA_INPUT!B916="","",DATA_INPUT!B916)</f>
        <v/>
      </c>
      <c r="D1493" t="str">
        <f>IF(DATA_INPUT!C916="","",DATA_INPUT!C916)</f>
        <v/>
      </c>
      <c r="E1493" s="27" t="str">
        <f>IF(DATA_INPUT!D916="","",DATA_INPUT!D916)</f>
        <v/>
      </c>
      <c r="F1493" t="str">
        <f t="shared" si="43"/>
        <v/>
      </c>
      <c r="G1493" t="str">
        <f t="shared" si="44"/>
        <v/>
      </c>
    </row>
    <row r="1494" spans="1:7">
      <c r="A1494" s="10" t="str">
        <f>IF(DATA_INPUT!A917="","",DATA_INPUT!A917)</f>
        <v/>
      </c>
      <c r="B1494" t="str">
        <f t="shared" si="42"/>
        <v/>
      </c>
      <c r="C1494" t="str">
        <f>IF(DATA_INPUT!B917="","",DATA_INPUT!B917)</f>
        <v/>
      </c>
      <c r="D1494" t="str">
        <f>IF(DATA_INPUT!C917="","",DATA_INPUT!C917)</f>
        <v/>
      </c>
      <c r="E1494" s="27" t="str">
        <f>IF(DATA_INPUT!D917="","",DATA_INPUT!D917)</f>
        <v/>
      </c>
      <c r="F1494" t="str">
        <f t="shared" si="43"/>
        <v/>
      </c>
      <c r="G1494" t="str">
        <f t="shared" si="44"/>
        <v/>
      </c>
    </row>
    <row r="1495" spans="1:7">
      <c r="A1495" s="10" t="str">
        <f>IF(DATA_INPUT!A918="","",DATA_INPUT!A918)</f>
        <v/>
      </c>
      <c r="B1495" t="str">
        <f t="shared" si="42"/>
        <v/>
      </c>
      <c r="C1495" t="str">
        <f>IF(DATA_INPUT!B918="","",DATA_INPUT!B918)</f>
        <v/>
      </c>
      <c r="D1495" t="str">
        <f>IF(DATA_INPUT!C918="","",DATA_INPUT!C918)</f>
        <v/>
      </c>
      <c r="E1495" s="27" t="str">
        <f>IF(DATA_INPUT!D918="","",DATA_INPUT!D918)</f>
        <v/>
      </c>
      <c r="F1495" t="str">
        <f t="shared" si="43"/>
        <v/>
      </c>
      <c r="G1495" t="str">
        <f t="shared" si="44"/>
        <v/>
      </c>
    </row>
    <row r="1496" spans="1:7">
      <c r="A1496" s="10" t="str">
        <f>IF(DATA_INPUT!A919="","",DATA_INPUT!A919)</f>
        <v/>
      </c>
      <c r="B1496" t="str">
        <f t="shared" si="42"/>
        <v/>
      </c>
      <c r="C1496" t="str">
        <f>IF(DATA_INPUT!B919="","",DATA_INPUT!B919)</f>
        <v/>
      </c>
      <c r="D1496" t="str">
        <f>IF(DATA_INPUT!C919="","",DATA_INPUT!C919)</f>
        <v/>
      </c>
      <c r="E1496" s="27" t="str">
        <f>IF(DATA_INPUT!D919="","",DATA_INPUT!D919)</f>
        <v/>
      </c>
      <c r="F1496" t="str">
        <f t="shared" si="43"/>
        <v/>
      </c>
      <c r="G1496" t="str">
        <f t="shared" si="44"/>
        <v/>
      </c>
    </row>
    <row r="1497" spans="1:7">
      <c r="A1497" s="10" t="str">
        <f>IF(DATA_INPUT!A920="","",DATA_INPUT!A920)</f>
        <v/>
      </c>
      <c r="B1497" t="str">
        <f t="shared" si="42"/>
        <v/>
      </c>
      <c r="C1497" t="str">
        <f>IF(DATA_INPUT!B920="","",DATA_INPUT!B920)</f>
        <v/>
      </c>
      <c r="D1497" t="str">
        <f>IF(DATA_INPUT!C920="","",DATA_INPUT!C920)</f>
        <v/>
      </c>
      <c r="E1497" s="27" t="str">
        <f>IF(DATA_INPUT!D920="","",DATA_INPUT!D920)</f>
        <v/>
      </c>
      <c r="F1497" t="str">
        <f t="shared" si="43"/>
        <v/>
      </c>
      <c r="G1497" t="str">
        <f t="shared" si="44"/>
        <v/>
      </c>
    </row>
    <row r="1498" spans="1:7">
      <c r="A1498" s="10" t="str">
        <f>IF(DATA_INPUT!A921="","",DATA_INPUT!A921)</f>
        <v/>
      </c>
      <c r="B1498" t="str">
        <f t="shared" si="42"/>
        <v/>
      </c>
      <c r="C1498" t="str">
        <f>IF(DATA_INPUT!B921="","",DATA_INPUT!B921)</f>
        <v/>
      </c>
      <c r="D1498" t="str">
        <f>IF(DATA_INPUT!C921="","",DATA_INPUT!C921)</f>
        <v/>
      </c>
      <c r="E1498" s="27" t="str">
        <f>IF(DATA_INPUT!D921="","",DATA_INPUT!D921)</f>
        <v/>
      </c>
      <c r="F1498" t="str">
        <f t="shared" si="43"/>
        <v/>
      </c>
      <c r="G1498" t="str">
        <f t="shared" si="44"/>
        <v/>
      </c>
    </row>
    <row r="1499" spans="1:7">
      <c r="A1499" s="10" t="str">
        <f>IF(DATA_INPUT!A922="","",DATA_INPUT!A922)</f>
        <v/>
      </c>
      <c r="B1499" t="str">
        <f t="shared" si="42"/>
        <v/>
      </c>
      <c r="C1499" t="str">
        <f>IF(DATA_INPUT!B922="","",DATA_INPUT!B922)</f>
        <v/>
      </c>
      <c r="D1499" t="str">
        <f>IF(DATA_INPUT!C922="","",DATA_INPUT!C922)</f>
        <v/>
      </c>
      <c r="E1499" s="27" t="str">
        <f>IF(DATA_INPUT!D922="","",DATA_INPUT!D922)</f>
        <v/>
      </c>
      <c r="F1499" t="str">
        <f t="shared" si="43"/>
        <v/>
      </c>
      <c r="G1499" t="str">
        <f t="shared" si="44"/>
        <v/>
      </c>
    </row>
    <row r="1500" spans="1:7">
      <c r="A1500" s="10" t="str">
        <f>IF(DATA_INPUT!A923="","",DATA_INPUT!A923)</f>
        <v/>
      </c>
      <c r="B1500" t="str">
        <f t="shared" si="42"/>
        <v/>
      </c>
      <c r="C1500" t="str">
        <f>IF(DATA_INPUT!B923="","",DATA_INPUT!B923)</f>
        <v/>
      </c>
      <c r="D1500" t="str">
        <f>IF(DATA_INPUT!C923="","",DATA_INPUT!C923)</f>
        <v/>
      </c>
      <c r="E1500" s="27" t="str">
        <f>IF(DATA_INPUT!D923="","",DATA_INPUT!D923)</f>
        <v/>
      </c>
      <c r="F1500" t="str">
        <f t="shared" si="43"/>
        <v/>
      </c>
      <c r="G1500" t="str">
        <f t="shared" si="44"/>
        <v/>
      </c>
    </row>
    <row r="1501" spans="1:7">
      <c r="A1501" s="10" t="str">
        <f>IF(DATA_INPUT!A924="","",DATA_INPUT!A924)</f>
        <v/>
      </c>
      <c r="B1501" t="str">
        <f t="shared" si="42"/>
        <v/>
      </c>
      <c r="C1501" t="str">
        <f>IF(DATA_INPUT!B924="","",DATA_INPUT!B924)</f>
        <v/>
      </c>
      <c r="D1501" t="str">
        <f>IF(DATA_INPUT!C924="","",DATA_INPUT!C924)</f>
        <v/>
      </c>
      <c r="E1501" s="27" t="str">
        <f>IF(DATA_INPUT!D924="","",DATA_INPUT!D924)</f>
        <v/>
      </c>
      <c r="F1501" t="str">
        <f t="shared" si="43"/>
        <v/>
      </c>
      <c r="G1501" t="str">
        <f t="shared" si="44"/>
        <v/>
      </c>
    </row>
    <row r="1502" spans="1:7">
      <c r="A1502" s="10" t="str">
        <f>IF(DATA_INPUT!A925="","",DATA_INPUT!A925)</f>
        <v/>
      </c>
      <c r="B1502" t="str">
        <f t="shared" si="42"/>
        <v/>
      </c>
      <c r="C1502" t="str">
        <f>IF(DATA_INPUT!B925="","",DATA_INPUT!B925)</f>
        <v/>
      </c>
      <c r="D1502" t="str">
        <f>IF(DATA_INPUT!C925="","",DATA_INPUT!C925)</f>
        <v/>
      </c>
      <c r="E1502" s="27" t="str">
        <f>IF(DATA_INPUT!D925="","",DATA_INPUT!D925)</f>
        <v/>
      </c>
      <c r="F1502" t="str">
        <f t="shared" si="43"/>
        <v/>
      </c>
      <c r="G1502" t="str">
        <f t="shared" si="44"/>
        <v/>
      </c>
    </row>
    <row r="1503" spans="1:7">
      <c r="A1503" s="10" t="str">
        <f>IF(DATA_INPUT!A926="","",DATA_INPUT!A926)</f>
        <v/>
      </c>
      <c r="B1503" t="str">
        <f t="shared" si="42"/>
        <v/>
      </c>
      <c r="C1503" t="str">
        <f>IF(DATA_INPUT!B926="","",DATA_INPUT!B926)</f>
        <v/>
      </c>
      <c r="D1503" t="str">
        <f>IF(DATA_INPUT!C926="","",DATA_INPUT!C926)</f>
        <v/>
      </c>
      <c r="E1503" s="27" t="str">
        <f>IF(DATA_INPUT!D926="","",DATA_INPUT!D926)</f>
        <v/>
      </c>
      <c r="F1503" t="str">
        <f t="shared" si="43"/>
        <v/>
      </c>
      <c r="G1503" t="str">
        <f t="shared" si="44"/>
        <v/>
      </c>
    </row>
    <row r="1504" spans="1:7">
      <c r="A1504" s="10" t="str">
        <f>IF(DATA_INPUT!A927="","",DATA_INPUT!A927)</f>
        <v/>
      </c>
      <c r="B1504" t="str">
        <f t="shared" si="42"/>
        <v/>
      </c>
      <c r="C1504" t="str">
        <f>IF(DATA_INPUT!B927="","",DATA_INPUT!B927)</f>
        <v/>
      </c>
      <c r="D1504" t="str">
        <f>IF(DATA_INPUT!C927="","",DATA_INPUT!C927)</f>
        <v/>
      </c>
      <c r="E1504" s="27" t="str">
        <f>IF(DATA_INPUT!D927="","",DATA_INPUT!D927)</f>
        <v/>
      </c>
      <c r="F1504" t="str">
        <f t="shared" si="43"/>
        <v/>
      </c>
      <c r="G1504" t="str">
        <f t="shared" si="44"/>
        <v/>
      </c>
    </row>
    <row r="1505" spans="1:7">
      <c r="A1505" s="10" t="str">
        <f>IF(DATA_INPUT!A928="","",DATA_INPUT!A928)</f>
        <v/>
      </c>
      <c r="B1505" t="str">
        <f t="shared" si="42"/>
        <v/>
      </c>
      <c r="C1505" t="str">
        <f>IF(DATA_INPUT!B928="","",DATA_INPUT!B928)</f>
        <v/>
      </c>
      <c r="D1505" t="str">
        <f>IF(DATA_INPUT!C928="","",DATA_INPUT!C928)</f>
        <v/>
      </c>
      <c r="E1505" s="27" t="str">
        <f>IF(DATA_INPUT!D928="","",DATA_INPUT!D928)</f>
        <v/>
      </c>
      <c r="F1505" t="str">
        <f t="shared" si="43"/>
        <v/>
      </c>
      <c r="G1505" t="str">
        <f t="shared" si="44"/>
        <v/>
      </c>
    </row>
    <row r="1506" spans="1:7">
      <c r="A1506" s="10" t="str">
        <f>IF(DATA_INPUT!A929="","",DATA_INPUT!A929)</f>
        <v/>
      </c>
      <c r="B1506" t="str">
        <f t="shared" si="42"/>
        <v/>
      </c>
      <c r="C1506" t="str">
        <f>IF(DATA_INPUT!B929="","",DATA_INPUT!B929)</f>
        <v/>
      </c>
      <c r="D1506" t="str">
        <f>IF(DATA_INPUT!C929="","",DATA_INPUT!C929)</f>
        <v/>
      </c>
      <c r="E1506" s="27" t="str">
        <f>IF(DATA_INPUT!D929="","",DATA_INPUT!D929)</f>
        <v/>
      </c>
      <c r="F1506" t="str">
        <f t="shared" si="43"/>
        <v/>
      </c>
      <c r="G1506" t="str">
        <f t="shared" si="44"/>
        <v/>
      </c>
    </row>
    <row r="1507" spans="1:7">
      <c r="A1507" s="10" t="str">
        <f>IF(DATA_INPUT!A930="","",DATA_INPUT!A930)</f>
        <v/>
      </c>
      <c r="B1507" t="str">
        <f t="shared" si="42"/>
        <v/>
      </c>
      <c r="C1507" t="str">
        <f>IF(DATA_INPUT!B930="","",DATA_INPUT!B930)</f>
        <v/>
      </c>
      <c r="D1507" t="str">
        <f>IF(DATA_INPUT!C930="","",DATA_INPUT!C930)</f>
        <v/>
      </c>
      <c r="E1507" s="27" t="str">
        <f>IF(DATA_INPUT!D930="","",DATA_INPUT!D930)</f>
        <v/>
      </c>
      <c r="F1507" t="str">
        <f t="shared" si="43"/>
        <v/>
      </c>
      <c r="G1507" t="str">
        <f t="shared" si="44"/>
        <v/>
      </c>
    </row>
    <row r="1508" spans="1:7">
      <c r="A1508" s="10" t="str">
        <f>IF(DATA_INPUT!A931="","",DATA_INPUT!A931)</f>
        <v/>
      </c>
      <c r="B1508" t="str">
        <f t="shared" si="42"/>
        <v/>
      </c>
      <c r="C1508" t="str">
        <f>IF(DATA_INPUT!B931="","",DATA_INPUT!B931)</f>
        <v/>
      </c>
      <c r="D1508" t="str">
        <f>IF(DATA_INPUT!C931="","",DATA_INPUT!C931)</f>
        <v/>
      </c>
      <c r="E1508" s="27" t="str">
        <f>IF(DATA_INPUT!D931="","",DATA_INPUT!D931)</f>
        <v/>
      </c>
      <c r="F1508" t="str">
        <f t="shared" si="43"/>
        <v/>
      </c>
      <c r="G1508" t="str">
        <f t="shared" si="44"/>
        <v/>
      </c>
    </row>
    <row r="1509" spans="1:7">
      <c r="A1509" s="10" t="str">
        <f>IF(DATA_INPUT!A932="","",DATA_INPUT!A932)</f>
        <v/>
      </c>
      <c r="B1509" t="str">
        <f t="shared" si="42"/>
        <v/>
      </c>
      <c r="C1509" t="str">
        <f>IF(DATA_INPUT!B932="","",DATA_INPUT!B932)</f>
        <v/>
      </c>
      <c r="D1509" t="str">
        <f>IF(DATA_INPUT!C932="","",DATA_INPUT!C932)</f>
        <v/>
      </c>
      <c r="E1509" s="27" t="str">
        <f>IF(DATA_INPUT!D932="","",DATA_INPUT!D932)</f>
        <v/>
      </c>
      <c r="F1509" t="str">
        <f t="shared" si="43"/>
        <v/>
      </c>
      <c r="G1509" t="str">
        <f t="shared" si="44"/>
        <v/>
      </c>
    </row>
    <row r="1510" spans="1:7">
      <c r="A1510" s="10" t="str">
        <f>IF(DATA_INPUT!A933="","",DATA_INPUT!A933)</f>
        <v/>
      </c>
      <c r="B1510" t="str">
        <f t="shared" si="42"/>
        <v/>
      </c>
      <c r="C1510" t="str">
        <f>IF(DATA_INPUT!B933="","",DATA_INPUT!B933)</f>
        <v/>
      </c>
      <c r="D1510" t="str">
        <f>IF(DATA_INPUT!C933="","",DATA_INPUT!C933)</f>
        <v/>
      </c>
      <c r="E1510" s="27" t="str">
        <f>IF(DATA_INPUT!D933="","",DATA_INPUT!D933)</f>
        <v/>
      </c>
      <c r="F1510" t="str">
        <f t="shared" si="43"/>
        <v/>
      </c>
      <c r="G1510" t="str">
        <f t="shared" si="44"/>
        <v/>
      </c>
    </row>
    <row r="1511" spans="1:7">
      <c r="A1511" s="10" t="str">
        <f>IF(DATA_INPUT!A934="","",DATA_INPUT!A934)</f>
        <v/>
      </c>
      <c r="B1511" t="str">
        <f t="shared" si="42"/>
        <v/>
      </c>
      <c r="C1511" t="str">
        <f>IF(DATA_INPUT!B934="","",DATA_INPUT!B934)</f>
        <v/>
      </c>
      <c r="D1511" t="str">
        <f>IF(DATA_INPUT!C934="","",DATA_INPUT!C934)</f>
        <v/>
      </c>
      <c r="E1511" s="27" t="str">
        <f>IF(DATA_INPUT!D934="","",DATA_INPUT!D934)</f>
        <v/>
      </c>
      <c r="F1511" t="str">
        <f t="shared" si="43"/>
        <v/>
      </c>
      <c r="G1511" t="str">
        <f t="shared" si="44"/>
        <v/>
      </c>
    </row>
    <row r="1512" spans="1:7">
      <c r="A1512" s="10" t="str">
        <f>IF(DATA_INPUT!A935="","",DATA_INPUT!A935)</f>
        <v/>
      </c>
      <c r="B1512" t="str">
        <f t="shared" si="42"/>
        <v/>
      </c>
      <c r="C1512" t="str">
        <f>IF(DATA_INPUT!B935="","",DATA_INPUT!B935)</f>
        <v/>
      </c>
      <c r="D1512" t="str">
        <f>IF(DATA_INPUT!C935="","",DATA_INPUT!C935)</f>
        <v/>
      </c>
      <c r="E1512" s="27" t="str">
        <f>IF(DATA_INPUT!D935="","",DATA_INPUT!D935)</f>
        <v/>
      </c>
      <c r="F1512" t="str">
        <f t="shared" si="43"/>
        <v/>
      </c>
      <c r="G1512" t="str">
        <f t="shared" si="44"/>
        <v/>
      </c>
    </row>
    <row r="1513" spans="1:7">
      <c r="A1513" s="10" t="str">
        <f>IF(DATA_INPUT!A936="","",DATA_INPUT!A936)</f>
        <v/>
      </c>
      <c r="B1513" t="str">
        <f t="shared" si="42"/>
        <v/>
      </c>
      <c r="C1513" t="str">
        <f>IF(DATA_INPUT!B936="","",DATA_INPUT!B936)</f>
        <v/>
      </c>
      <c r="D1513" t="str">
        <f>IF(DATA_INPUT!C936="","",DATA_INPUT!C936)</f>
        <v/>
      </c>
      <c r="E1513" s="27" t="str">
        <f>IF(DATA_INPUT!D936="","",DATA_INPUT!D936)</f>
        <v/>
      </c>
      <c r="F1513" t="str">
        <f t="shared" si="43"/>
        <v/>
      </c>
      <c r="G1513" t="str">
        <f t="shared" si="44"/>
        <v/>
      </c>
    </row>
    <row r="1514" spans="1:7">
      <c r="A1514" s="10" t="str">
        <f>IF(DATA_INPUT!A937="","",DATA_INPUT!A937)</f>
        <v/>
      </c>
      <c r="B1514" t="str">
        <f t="shared" si="42"/>
        <v/>
      </c>
      <c r="C1514" t="str">
        <f>IF(DATA_INPUT!B937="","",DATA_INPUT!B937)</f>
        <v/>
      </c>
      <c r="D1514" t="str">
        <f>IF(DATA_INPUT!C937="","",DATA_INPUT!C937)</f>
        <v/>
      </c>
      <c r="E1514" s="27" t="str">
        <f>IF(DATA_INPUT!D937="","",DATA_INPUT!D937)</f>
        <v/>
      </c>
      <c r="F1514" t="str">
        <f t="shared" si="43"/>
        <v/>
      </c>
      <c r="G1514" t="str">
        <f t="shared" si="44"/>
        <v/>
      </c>
    </row>
    <row r="1515" spans="1:7">
      <c r="A1515" s="10" t="str">
        <f>IF(DATA_INPUT!A938="","",DATA_INPUT!A938)</f>
        <v/>
      </c>
      <c r="B1515" t="str">
        <f t="shared" si="42"/>
        <v/>
      </c>
      <c r="C1515" t="str">
        <f>IF(DATA_INPUT!B938="","",DATA_INPUT!B938)</f>
        <v/>
      </c>
      <c r="D1515" t="str">
        <f>IF(DATA_INPUT!C938="","",DATA_INPUT!C938)</f>
        <v/>
      </c>
      <c r="E1515" s="27" t="str">
        <f>IF(DATA_INPUT!D938="","",DATA_INPUT!D938)</f>
        <v/>
      </c>
      <c r="F1515" t="str">
        <f t="shared" si="43"/>
        <v/>
      </c>
      <c r="G1515" t="str">
        <f t="shared" si="44"/>
        <v/>
      </c>
    </row>
    <row r="1516" spans="1:7">
      <c r="A1516" s="10" t="str">
        <f>IF(DATA_INPUT!A939="","",DATA_INPUT!A939)</f>
        <v/>
      </c>
      <c r="B1516" t="str">
        <f t="shared" si="42"/>
        <v/>
      </c>
      <c r="C1516" t="str">
        <f>IF(DATA_INPUT!B939="","",DATA_INPUT!B939)</f>
        <v/>
      </c>
      <c r="D1516" t="str">
        <f>IF(DATA_INPUT!C939="","",DATA_INPUT!C939)</f>
        <v/>
      </c>
      <c r="E1516" s="27" t="str">
        <f>IF(DATA_INPUT!D939="","",DATA_INPUT!D939)</f>
        <v/>
      </c>
      <c r="F1516" t="str">
        <f t="shared" si="43"/>
        <v/>
      </c>
      <c r="G1516" t="str">
        <f t="shared" si="44"/>
        <v/>
      </c>
    </row>
    <row r="1517" spans="1:7">
      <c r="A1517" s="10" t="str">
        <f>IF(DATA_INPUT!A940="","",DATA_INPUT!A940)</f>
        <v/>
      </c>
      <c r="B1517" t="str">
        <f t="shared" si="42"/>
        <v/>
      </c>
      <c r="C1517" t="str">
        <f>IF(DATA_INPUT!B940="","",DATA_INPUT!B940)</f>
        <v/>
      </c>
      <c r="D1517" t="str">
        <f>IF(DATA_INPUT!C940="","",DATA_INPUT!C940)</f>
        <v/>
      </c>
      <c r="E1517" s="27" t="str">
        <f>IF(DATA_INPUT!D940="","",DATA_INPUT!D940)</f>
        <v/>
      </c>
      <c r="F1517" t="str">
        <f t="shared" si="43"/>
        <v/>
      </c>
      <c r="G1517" t="str">
        <f t="shared" si="44"/>
        <v/>
      </c>
    </row>
    <row r="1518" spans="1:7">
      <c r="A1518" s="10" t="str">
        <f>IF(DATA_INPUT!A941="","",DATA_INPUT!A941)</f>
        <v/>
      </c>
      <c r="B1518" t="str">
        <f t="shared" si="42"/>
        <v/>
      </c>
      <c r="C1518" t="str">
        <f>IF(DATA_INPUT!B941="","",DATA_INPUT!B941)</f>
        <v/>
      </c>
      <c r="D1518" t="str">
        <f>IF(DATA_INPUT!C941="","",DATA_INPUT!C941)</f>
        <v/>
      </c>
      <c r="E1518" s="27" t="str">
        <f>IF(DATA_INPUT!D941="","",DATA_INPUT!D941)</f>
        <v/>
      </c>
      <c r="F1518" t="str">
        <f t="shared" si="43"/>
        <v/>
      </c>
      <c r="G1518" t="str">
        <f t="shared" si="44"/>
        <v/>
      </c>
    </row>
    <row r="1519" spans="1:7">
      <c r="A1519" s="10" t="str">
        <f>IF(DATA_INPUT!A942="","",DATA_INPUT!A942)</f>
        <v/>
      </c>
      <c r="B1519" t="str">
        <f t="shared" si="42"/>
        <v/>
      </c>
      <c r="C1519" t="str">
        <f>IF(DATA_INPUT!B942="","",DATA_INPUT!B942)</f>
        <v/>
      </c>
      <c r="D1519" t="str">
        <f>IF(DATA_INPUT!C942="","",DATA_INPUT!C942)</f>
        <v/>
      </c>
      <c r="E1519" s="27" t="str">
        <f>IF(DATA_INPUT!D942="","",DATA_INPUT!D942)</f>
        <v/>
      </c>
      <c r="F1519" t="str">
        <f t="shared" si="43"/>
        <v/>
      </c>
      <c r="G1519" t="str">
        <f t="shared" si="44"/>
        <v/>
      </c>
    </row>
    <row r="1520" spans="1:7">
      <c r="A1520" s="10" t="str">
        <f>IF(DATA_INPUT!A943="","",DATA_INPUT!A943)</f>
        <v/>
      </c>
      <c r="B1520" t="str">
        <f t="shared" si="42"/>
        <v/>
      </c>
      <c r="C1520" t="str">
        <f>IF(DATA_INPUT!B943="","",DATA_INPUT!B943)</f>
        <v/>
      </c>
      <c r="D1520" t="str">
        <f>IF(DATA_INPUT!C943="","",DATA_INPUT!C943)</f>
        <v/>
      </c>
      <c r="E1520" s="27" t="str">
        <f>IF(DATA_INPUT!D943="","",DATA_INPUT!D943)</f>
        <v/>
      </c>
      <c r="F1520" t="str">
        <f t="shared" si="43"/>
        <v/>
      </c>
      <c r="G1520" t="str">
        <f t="shared" si="44"/>
        <v/>
      </c>
    </row>
    <row r="1521" spans="1:7">
      <c r="A1521" s="10" t="str">
        <f>IF(DATA_INPUT!A944="","",DATA_INPUT!A944)</f>
        <v/>
      </c>
      <c r="B1521" t="str">
        <f t="shared" si="42"/>
        <v/>
      </c>
      <c r="C1521" t="str">
        <f>IF(DATA_INPUT!B944="","",DATA_INPUT!B944)</f>
        <v/>
      </c>
      <c r="D1521" t="str">
        <f>IF(DATA_INPUT!C944="","",DATA_INPUT!C944)</f>
        <v/>
      </c>
      <c r="E1521" s="27" t="str">
        <f>IF(DATA_INPUT!D944="","",DATA_INPUT!D944)</f>
        <v/>
      </c>
      <c r="F1521" t="str">
        <f t="shared" si="43"/>
        <v/>
      </c>
      <c r="G1521" t="str">
        <f t="shared" si="44"/>
        <v/>
      </c>
    </row>
    <row r="1522" spans="1:7">
      <c r="A1522" s="10" t="str">
        <f>IF(DATA_INPUT!A945="","",DATA_INPUT!A945)</f>
        <v/>
      </c>
      <c r="B1522" t="str">
        <f t="shared" si="42"/>
        <v/>
      </c>
      <c r="C1522" t="str">
        <f>IF(DATA_INPUT!B945="","",DATA_INPUT!B945)</f>
        <v/>
      </c>
      <c r="D1522" t="str">
        <f>IF(DATA_INPUT!C945="","",DATA_INPUT!C945)</f>
        <v/>
      </c>
      <c r="E1522" s="27" t="str">
        <f>IF(DATA_INPUT!D945="","",DATA_INPUT!D945)</f>
        <v/>
      </c>
      <c r="F1522" t="str">
        <f t="shared" si="43"/>
        <v/>
      </c>
      <c r="G1522" t="str">
        <f t="shared" si="44"/>
        <v/>
      </c>
    </row>
    <row r="1523" spans="1:7">
      <c r="A1523" s="10" t="str">
        <f>IF(DATA_INPUT!A946="","",DATA_INPUT!A946)</f>
        <v/>
      </c>
      <c r="B1523" t="str">
        <f t="shared" si="42"/>
        <v/>
      </c>
      <c r="C1523" t="str">
        <f>IF(DATA_INPUT!B946="","",DATA_INPUT!B946)</f>
        <v/>
      </c>
      <c r="D1523" t="str">
        <f>IF(DATA_INPUT!C946="","",DATA_INPUT!C946)</f>
        <v/>
      </c>
      <c r="E1523" s="27" t="str">
        <f>IF(DATA_INPUT!D946="","",DATA_INPUT!D946)</f>
        <v/>
      </c>
      <c r="F1523" t="str">
        <f t="shared" si="43"/>
        <v/>
      </c>
      <c r="G1523" t="str">
        <f t="shared" si="44"/>
        <v/>
      </c>
    </row>
    <row r="1524" spans="1:7">
      <c r="A1524" s="10" t="str">
        <f>IF(DATA_INPUT!A947="","",DATA_INPUT!A947)</f>
        <v/>
      </c>
      <c r="B1524" t="str">
        <f t="shared" si="42"/>
        <v/>
      </c>
      <c r="C1524" t="str">
        <f>IF(DATA_INPUT!B947="","",DATA_INPUT!B947)</f>
        <v/>
      </c>
      <c r="D1524" t="str">
        <f>IF(DATA_INPUT!C947="","",DATA_INPUT!C947)</f>
        <v/>
      </c>
      <c r="E1524" s="27" t="str">
        <f>IF(DATA_INPUT!D947="","",DATA_INPUT!D947)</f>
        <v/>
      </c>
      <c r="F1524" t="str">
        <f t="shared" si="43"/>
        <v/>
      </c>
      <c r="G1524" t="str">
        <f t="shared" si="44"/>
        <v/>
      </c>
    </row>
    <row r="1525" spans="1:7">
      <c r="A1525" s="10" t="str">
        <f>IF(DATA_INPUT!A948="","",DATA_INPUT!A948)</f>
        <v/>
      </c>
      <c r="B1525" t="str">
        <f t="shared" si="42"/>
        <v/>
      </c>
      <c r="C1525" t="str">
        <f>IF(DATA_INPUT!B948="","",DATA_INPUT!B948)</f>
        <v/>
      </c>
      <c r="D1525" t="str">
        <f>IF(DATA_INPUT!C948="","",DATA_INPUT!C948)</f>
        <v/>
      </c>
      <c r="E1525" s="27" t="str">
        <f>IF(DATA_INPUT!D948="","",DATA_INPUT!D948)</f>
        <v/>
      </c>
      <c r="F1525" t="str">
        <f t="shared" si="43"/>
        <v/>
      </c>
      <c r="G1525" t="str">
        <f t="shared" si="44"/>
        <v/>
      </c>
    </row>
    <row r="1526" spans="1:7">
      <c r="A1526" s="10" t="str">
        <f>IF(DATA_INPUT!A949="","",DATA_INPUT!A949)</f>
        <v/>
      </c>
      <c r="B1526" t="str">
        <f t="shared" si="42"/>
        <v/>
      </c>
      <c r="C1526" t="str">
        <f>IF(DATA_INPUT!B949="","",DATA_INPUT!B949)</f>
        <v/>
      </c>
      <c r="D1526" t="str">
        <f>IF(DATA_INPUT!C949="","",DATA_INPUT!C949)</f>
        <v/>
      </c>
      <c r="E1526" s="27" t="str">
        <f>IF(DATA_INPUT!D949="","",DATA_INPUT!D949)</f>
        <v/>
      </c>
      <c r="F1526" t="str">
        <f t="shared" si="43"/>
        <v/>
      </c>
      <c r="G1526" t="str">
        <f t="shared" si="44"/>
        <v/>
      </c>
    </row>
    <row r="1527" spans="1:7">
      <c r="A1527" s="10" t="str">
        <f>IF(DATA_INPUT!A950="","",DATA_INPUT!A950)</f>
        <v/>
      </c>
      <c r="B1527" t="str">
        <f t="shared" si="42"/>
        <v/>
      </c>
      <c r="C1527" t="str">
        <f>IF(DATA_INPUT!B950="","",DATA_INPUT!B950)</f>
        <v/>
      </c>
      <c r="D1527" t="str">
        <f>IF(DATA_INPUT!C950="","",DATA_INPUT!C950)</f>
        <v/>
      </c>
      <c r="E1527" s="27" t="str">
        <f>IF(DATA_INPUT!D950="","",DATA_INPUT!D950)</f>
        <v/>
      </c>
      <c r="F1527" t="str">
        <f t="shared" si="43"/>
        <v/>
      </c>
      <c r="G1527" t="str">
        <f t="shared" si="44"/>
        <v/>
      </c>
    </row>
    <row r="1528" spans="1:7">
      <c r="A1528" s="10" t="str">
        <f>IF(DATA_INPUT!A951="","",DATA_INPUT!A951)</f>
        <v/>
      </c>
      <c r="B1528" t="str">
        <f t="shared" si="42"/>
        <v/>
      </c>
      <c r="C1528" t="str">
        <f>IF(DATA_INPUT!B951="","",DATA_INPUT!B951)</f>
        <v/>
      </c>
      <c r="D1528" t="str">
        <f>IF(DATA_INPUT!C951="","",DATA_INPUT!C951)</f>
        <v/>
      </c>
      <c r="E1528" s="27" t="str">
        <f>IF(DATA_INPUT!D951="","",DATA_INPUT!D951)</f>
        <v/>
      </c>
      <c r="F1528" t="str">
        <f t="shared" si="43"/>
        <v/>
      </c>
      <c r="G1528" t="str">
        <f t="shared" si="44"/>
        <v/>
      </c>
    </row>
    <row r="1529" spans="1:7">
      <c r="A1529" s="10" t="str">
        <f>IF(DATA_INPUT!A952="","",DATA_INPUT!A952)</f>
        <v/>
      </c>
      <c r="B1529" t="str">
        <f t="shared" si="42"/>
        <v/>
      </c>
      <c r="C1529" t="str">
        <f>IF(DATA_INPUT!B952="","",DATA_INPUT!B952)</f>
        <v/>
      </c>
      <c r="D1529" t="str">
        <f>IF(DATA_INPUT!C952="","",DATA_INPUT!C952)</f>
        <v/>
      </c>
      <c r="E1529" s="27" t="str">
        <f>IF(DATA_INPUT!D952="","",DATA_INPUT!D952)</f>
        <v/>
      </c>
      <c r="F1529" t="str">
        <f t="shared" si="43"/>
        <v/>
      </c>
      <c r="G1529" t="str">
        <f t="shared" si="44"/>
        <v/>
      </c>
    </row>
    <row r="1530" spans="1:7">
      <c r="A1530" s="10" t="str">
        <f>IF(DATA_INPUT!A953="","",DATA_INPUT!A953)</f>
        <v/>
      </c>
      <c r="B1530" t="str">
        <f t="shared" si="42"/>
        <v/>
      </c>
      <c r="C1530" t="str">
        <f>IF(DATA_INPUT!B953="","",DATA_INPUT!B953)</f>
        <v/>
      </c>
      <c r="D1530" t="str">
        <f>IF(DATA_INPUT!C953="","",DATA_INPUT!C953)</f>
        <v/>
      </c>
      <c r="E1530" s="27" t="str">
        <f>IF(DATA_INPUT!D953="","",DATA_INPUT!D953)</f>
        <v/>
      </c>
      <c r="F1530" t="str">
        <f t="shared" si="43"/>
        <v/>
      </c>
      <c r="G1530" t="str">
        <f t="shared" si="44"/>
        <v/>
      </c>
    </row>
    <row r="1531" spans="1:7">
      <c r="A1531" s="10" t="str">
        <f>IF(DATA_INPUT!A954="","",DATA_INPUT!A954)</f>
        <v/>
      </c>
      <c r="B1531" t="str">
        <f t="shared" si="42"/>
        <v/>
      </c>
      <c r="C1531" t="str">
        <f>IF(DATA_INPUT!B954="","",DATA_INPUT!B954)</f>
        <v/>
      </c>
      <c r="D1531" t="str">
        <f>IF(DATA_INPUT!C954="","",DATA_INPUT!C954)</f>
        <v/>
      </c>
      <c r="E1531" s="27" t="str">
        <f>IF(DATA_INPUT!D954="","",DATA_INPUT!D954)</f>
        <v/>
      </c>
      <c r="F1531" t="str">
        <f t="shared" si="43"/>
        <v/>
      </c>
      <c r="G1531" t="str">
        <f t="shared" si="44"/>
        <v/>
      </c>
    </row>
    <row r="1532" spans="1:7">
      <c r="A1532" s="10" t="str">
        <f>IF(DATA_INPUT!A955="","",DATA_INPUT!A955)</f>
        <v/>
      </c>
      <c r="B1532" t="str">
        <f t="shared" si="42"/>
        <v/>
      </c>
      <c r="C1532" t="str">
        <f>IF(DATA_INPUT!B955="","",DATA_INPUT!B955)</f>
        <v/>
      </c>
      <c r="D1532" t="str">
        <f>IF(DATA_INPUT!C955="","",DATA_INPUT!C955)</f>
        <v/>
      </c>
      <c r="E1532" s="27" t="str">
        <f>IF(DATA_INPUT!D955="","",DATA_INPUT!D955)</f>
        <v/>
      </c>
      <c r="F1532" t="str">
        <f t="shared" si="43"/>
        <v/>
      </c>
      <c r="G1532" t="str">
        <f t="shared" si="44"/>
        <v/>
      </c>
    </row>
    <row r="1533" spans="1:7">
      <c r="A1533" s="10" t="str">
        <f>IF(DATA_INPUT!A956="","",DATA_INPUT!A956)</f>
        <v/>
      </c>
      <c r="B1533" t="str">
        <f t="shared" si="42"/>
        <v/>
      </c>
      <c r="C1533" t="str">
        <f>IF(DATA_INPUT!B956="","",DATA_INPUT!B956)</f>
        <v/>
      </c>
      <c r="D1533" t="str">
        <f>IF(DATA_INPUT!C956="","",DATA_INPUT!C956)</f>
        <v/>
      </c>
      <c r="E1533" s="27" t="str">
        <f>IF(DATA_INPUT!D956="","",DATA_INPUT!D956)</f>
        <v/>
      </c>
      <c r="F1533" t="str">
        <f t="shared" si="43"/>
        <v/>
      </c>
      <c r="G1533" t="str">
        <f t="shared" si="44"/>
        <v/>
      </c>
    </row>
    <row r="1534" spans="1:7">
      <c r="A1534" s="10" t="str">
        <f>IF(DATA_INPUT!A957="","",DATA_INPUT!A957)</f>
        <v/>
      </c>
      <c r="B1534" t="str">
        <f t="shared" si="42"/>
        <v/>
      </c>
      <c r="C1534" t="str">
        <f>IF(DATA_INPUT!B957="","",DATA_INPUT!B957)</f>
        <v/>
      </c>
      <c r="D1534" t="str">
        <f>IF(DATA_INPUT!C957="","",DATA_INPUT!C957)</f>
        <v/>
      </c>
      <c r="E1534" s="27" t="str">
        <f>IF(DATA_INPUT!D957="","",DATA_INPUT!D957)</f>
        <v/>
      </c>
      <c r="F1534" t="str">
        <f t="shared" si="43"/>
        <v/>
      </c>
      <c r="G1534" t="str">
        <f t="shared" si="44"/>
        <v/>
      </c>
    </row>
    <row r="1535" spans="1:7">
      <c r="A1535" s="10" t="str">
        <f>IF(DATA_INPUT!A958="","",DATA_INPUT!A958)</f>
        <v/>
      </c>
      <c r="B1535" t="str">
        <f t="shared" si="42"/>
        <v/>
      </c>
      <c r="C1535" t="str">
        <f>IF(DATA_INPUT!B958="","",DATA_INPUT!B958)</f>
        <v/>
      </c>
      <c r="D1535" t="str">
        <f>IF(DATA_INPUT!C958="","",DATA_INPUT!C958)</f>
        <v/>
      </c>
      <c r="E1535" s="27" t="str">
        <f>IF(DATA_INPUT!D958="","",DATA_INPUT!D958)</f>
        <v/>
      </c>
      <c r="F1535" t="str">
        <f t="shared" si="43"/>
        <v/>
      </c>
      <c r="G1535" t="str">
        <f t="shared" si="44"/>
        <v/>
      </c>
    </row>
    <row r="1536" spans="1:7">
      <c r="A1536" s="10" t="str">
        <f>IF(DATA_INPUT!A959="","",DATA_INPUT!A959)</f>
        <v/>
      </c>
      <c r="B1536" t="str">
        <f t="shared" si="42"/>
        <v/>
      </c>
      <c r="C1536" t="str">
        <f>IF(DATA_INPUT!B959="","",DATA_INPUT!B959)</f>
        <v/>
      </c>
      <c r="D1536" t="str">
        <f>IF(DATA_INPUT!C959="","",DATA_INPUT!C959)</f>
        <v/>
      </c>
      <c r="E1536" s="27" t="str">
        <f>IF(DATA_INPUT!D959="","",DATA_INPUT!D959)</f>
        <v/>
      </c>
      <c r="F1536" t="str">
        <f t="shared" si="43"/>
        <v/>
      </c>
      <c r="G1536" t="str">
        <f t="shared" si="44"/>
        <v/>
      </c>
    </row>
    <row r="1537" spans="1:7">
      <c r="A1537" s="10" t="str">
        <f>IF(DATA_INPUT!A960="","",DATA_INPUT!A960)</f>
        <v/>
      </c>
      <c r="B1537" t="str">
        <f t="shared" si="42"/>
        <v/>
      </c>
      <c r="C1537" t="str">
        <f>IF(DATA_INPUT!B960="","",DATA_INPUT!B960)</f>
        <v/>
      </c>
      <c r="D1537" t="str">
        <f>IF(DATA_INPUT!C960="","",DATA_INPUT!C960)</f>
        <v/>
      </c>
      <c r="E1537" s="27" t="str">
        <f>IF(DATA_INPUT!D960="","",DATA_INPUT!D960)</f>
        <v/>
      </c>
      <c r="F1537" t="str">
        <f t="shared" si="43"/>
        <v/>
      </c>
      <c r="G1537" t="str">
        <f t="shared" si="44"/>
        <v/>
      </c>
    </row>
    <row r="1538" spans="1:7">
      <c r="A1538" s="10" t="str">
        <f>IF(DATA_INPUT!A961="","",DATA_INPUT!A961)</f>
        <v/>
      </c>
      <c r="B1538" t="str">
        <f t="shared" si="42"/>
        <v/>
      </c>
      <c r="C1538" t="str">
        <f>IF(DATA_INPUT!B961="","",DATA_INPUT!B961)</f>
        <v/>
      </c>
      <c r="D1538" t="str">
        <f>IF(DATA_INPUT!C961="","",DATA_INPUT!C961)</f>
        <v/>
      </c>
      <c r="E1538" s="27" t="str">
        <f>IF(DATA_INPUT!D961="","",DATA_INPUT!D961)</f>
        <v/>
      </c>
      <c r="F1538" t="str">
        <f t="shared" si="43"/>
        <v/>
      </c>
      <c r="G1538" t="str">
        <f t="shared" si="44"/>
        <v/>
      </c>
    </row>
    <row r="1539" spans="1:7">
      <c r="A1539" s="10" t="str">
        <f>IF(DATA_INPUT!A962="","",DATA_INPUT!A962)</f>
        <v/>
      </c>
      <c r="B1539" t="str">
        <f t="shared" si="42"/>
        <v/>
      </c>
      <c r="C1539" t="str">
        <f>IF(DATA_INPUT!B962="","",DATA_INPUT!B962)</f>
        <v/>
      </c>
      <c r="D1539" t="str">
        <f>IF(DATA_INPUT!C962="","",DATA_INPUT!C962)</f>
        <v/>
      </c>
      <c r="E1539" s="27" t="str">
        <f>IF(DATA_INPUT!D962="","",DATA_INPUT!D962)</f>
        <v/>
      </c>
      <c r="F1539" t="str">
        <f t="shared" si="43"/>
        <v/>
      </c>
      <c r="G1539" t="str">
        <f t="shared" si="44"/>
        <v/>
      </c>
    </row>
    <row r="1540" spans="1:7">
      <c r="A1540" s="10" t="str">
        <f>IF(DATA_INPUT!A963="","",DATA_INPUT!A963)</f>
        <v/>
      </c>
      <c r="B1540" t="str">
        <f t="shared" ref="B1540:B1603" si="45">IF(A1540="","",TEXT(A1540,"dddd"))</f>
        <v/>
      </c>
      <c r="C1540" t="str">
        <f>IF(DATA_INPUT!B963="","",DATA_INPUT!B963)</f>
        <v/>
      </c>
      <c r="D1540" t="str">
        <f>IF(DATA_INPUT!C963="","",DATA_INPUT!C963)</f>
        <v/>
      </c>
      <c r="E1540" s="27" t="str">
        <f>IF(DATA_INPUT!D963="","",DATA_INPUT!D963)</f>
        <v/>
      </c>
      <c r="F1540" t="str">
        <f t="shared" ref="F1540:F1603" si="46">IF(A1540="","",TEXT(A1540,"mmm yyyy"))</f>
        <v/>
      </c>
      <c r="G1540" t="str">
        <f t="shared" ref="G1540:G1603" si="47">IF(A1540="","",WEEKNUM(A1540))</f>
        <v/>
      </c>
    </row>
    <row r="1541" spans="1:7">
      <c r="A1541" s="10" t="str">
        <f>IF(DATA_INPUT!A964="","",DATA_INPUT!A964)</f>
        <v/>
      </c>
      <c r="B1541" t="str">
        <f t="shared" si="45"/>
        <v/>
      </c>
      <c r="C1541" t="str">
        <f>IF(DATA_INPUT!B964="","",DATA_INPUT!B964)</f>
        <v/>
      </c>
      <c r="D1541" t="str">
        <f>IF(DATA_INPUT!C964="","",DATA_INPUT!C964)</f>
        <v/>
      </c>
      <c r="E1541" s="27" t="str">
        <f>IF(DATA_INPUT!D964="","",DATA_INPUT!D964)</f>
        <v/>
      </c>
      <c r="F1541" t="str">
        <f t="shared" si="46"/>
        <v/>
      </c>
      <c r="G1541" t="str">
        <f t="shared" si="47"/>
        <v/>
      </c>
    </row>
    <row r="1542" spans="1:7">
      <c r="A1542" s="10" t="str">
        <f>IF(DATA_INPUT!A965="","",DATA_INPUT!A965)</f>
        <v/>
      </c>
      <c r="B1542" t="str">
        <f t="shared" si="45"/>
        <v/>
      </c>
      <c r="C1542" t="str">
        <f>IF(DATA_INPUT!B965="","",DATA_INPUT!B965)</f>
        <v/>
      </c>
      <c r="D1542" t="str">
        <f>IF(DATA_INPUT!C965="","",DATA_INPUT!C965)</f>
        <v/>
      </c>
      <c r="E1542" s="27" t="str">
        <f>IF(DATA_INPUT!D965="","",DATA_INPUT!D965)</f>
        <v/>
      </c>
      <c r="F1542" t="str">
        <f t="shared" si="46"/>
        <v/>
      </c>
      <c r="G1542" t="str">
        <f t="shared" si="47"/>
        <v/>
      </c>
    </row>
    <row r="1543" spans="1:7">
      <c r="A1543" s="10" t="str">
        <f>IF(DATA_INPUT!A966="","",DATA_INPUT!A966)</f>
        <v/>
      </c>
      <c r="B1543" t="str">
        <f t="shared" si="45"/>
        <v/>
      </c>
      <c r="C1543" t="str">
        <f>IF(DATA_INPUT!B966="","",DATA_INPUT!B966)</f>
        <v/>
      </c>
      <c r="D1543" t="str">
        <f>IF(DATA_INPUT!C966="","",DATA_INPUT!C966)</f>
        <v/>
      </c>
      <c r="E1543" s="27" t="str">
        <f>IF(DATA_INPUT!D966="","",DATA_INPUT!D966)</f>
        <v/>
      </c>
      <c r="F1543" t="str">
        <f t="shared" si="46"/>
        <v/>
      </c>
      <c r="G1543" t="str">
        <f t="shared" si="47"/>
        <v/>
      </c>
    </row>
    <row r="1544" spans="1:7">
      <c r="A1544" s="10" t="str">
        <f>IF(DATA_INPUT!A967="","",DATA_INPUT!A967)</f>
        <v/>
      </c>
      <c r="B1544" t="str">
        <f t="shared" si="45"/>
        <v/>
      </c>
      <c r="C1544" t="str">
        <f>IF(DATA_INPUT!B967="","",DATA_INPUT!B967)</f>
        <v/>
      </c>
      <c r="D1544" t="str">
        <f>IF(DATA_INPUT!C967="","",DATA_INPUT!C967)</f>
        <v/>
      </c>
      <c r="E1544" s="27" t="str">
        <f>IF(DATA_INPUT!D967="","",DATA_INPUT!D967)</f>
        <v/>
      </c>
      <c r="F1544" t="str">
        <f t="shared" si="46"/>
        <v/>
      </c>
      <c r="G1544" t="str">
        <f t="shared" si="47"/>
        <v/>
      </c>
    </row>
    <row r="1545" spans="1:7">
      <c r="A1545" s="10" t="str">
        <f>IF(DATA_INPUT!A968="","",DATA_INPUT!A968)</f>
        <v/>
      </c>
      <c r="B1545" t="str">
        <f t="shared" si="45"/>
        <v/>
      </c>
      <c r="C1545" t="str">
        <f>IF(DATA_INPUT!B968="","",DATA_INPUT!B968)</f>
        <v/>
      </c>
      <c r="D1545" t="str">
        <f>IF(DATA_INPUT!C968="","",DATA_INPUT!C968)</f>
        <v/>
      </c>
      <c r="E1545" s="27" t="str">
        <f>IF(DATA_INPUT!D968="","",DATA_INPUT!D968)</f>
        <v/>
      </c>
      <c r="F1545" t="str">
        <f t="shared" si="46"/>
        <v/>
      </c>
      <c r="G1545" t="str">
        <f t="shared" si="47"/>
        <v/>
      </c>
    </row>
    <row r="1546" spans="1:7">
      <c r="A1546" s="10" t="str">
        <f>IF(DATA_INPUT!A969="","",DATA_INPUT!A969)</f>
        <v/>
      </c>
      <c r="B1546" t="str">
        <f t="shared" si="45"/>
        <v/>
      </c>
      <c r="C1546" t="str">
        <f>IF(DATA_INPUT!B969="","",DATA_INPUT!B969)</f>
        <v/>
      </c>
      <c r="D1546" t="str">
        <f>IF(DATA_INPUT!C969="","",DATA_INPUT!C969)</f>
        <v/>
      </c>
      <c r="E1546" s="27" t="str">
        <f>IF(DATA_INPUT!D969="","",DATA_INPUT!D969)</f>
        <v/>
      </c>
      <c r="F1546" t="str">
        <f t="shared" si="46"/>
        <v/>
      </c>
      <c r="G1546" t="str">
        <f t="shared" si="47"/>
        <v/>
      </c>
    </row>
    <row r="1547" spans="1:7">
      <c r="A1547" s="10" t="str">
        <f>IF(DATA_INPUT!A970="","",DATA_INPUT!A970)</f>
        <v/>
      </c>
      <c r="B1547" t="str">
        <f t="shared" si="45"/>
        <v/>
      </c>
      <c r="C1547" t="str">
        <f>IF(DATA_INPUT!B970="","",DATA_INPUT!B970)</f>
        <v/>
      </c>
      <c r="D1547" t="str">
        <f>IF(DATA_INPUT!C970="","",DATA_INPUT!C970)</f>
        <v/>
      </c>
      <c r="E1547" s="27" t="str">
        <f>IF(DATA_INPUT!D970="","",DATA_INPUT!D970)</f>
        <v/>
      </c>
      <c r="F1547" t="str">
        <f t="shared" si="46"/>
        <v/>
      </c>
      <c r="G1547" t="str">
        <f t="shared" si="47"/>
        <v/>
      </c>
    </row>
    <row r="1548" spans="1:7">
      <c r="A1548" s="10" t="str">
        <f>IF(DATA_INPUT!A971="","",DATA_INPUT!A971)</f>
        <v/>
      </c>
      <c r="B1548" t="str">
        <f t="shared" si="45"/>
        <v/>
      </c>
      <c r="C1548" t="str">
        <f>IF(DATA_INPUT!B971="","",DATA_INPUT!B971)</f>
        <v/>
      </c>
      <c r="D1548" t="str">
        <f>IF(DATA_INPUT!C971="","",DATA_INPUT!C971)</f>
        <v/>
      </c>
      <c r="E1548" s="27" t="str">
        <f>IF(DATA_INPUT!D971="","",DATA_INPUT!D971)</f>
        <v/>
      </c>
      <c r="F1548" t="str">
        <f t="shared" si="46"/>
        <v/>
      </c>
      <c r="G1548" t="str">
        <f t="shared" si="47"/>
        <v/>
      </c>
    </row>
    <row r="1549" spans="1:7">
      <c r="A1549" s="10" t="str">
        <f>IF(DATA_INPUT!A972="","",DATA_INPUT!A972)</f>
        <v/>
      </c>
      <c r="B1549" t="str">
        <f t="shared" si="45"/>
        <v/>
      </c>
      <c r="C1549" t="str">
        <f>IF(DATA_INPUT!B972="","",DATA_INPUT!B972)</f>
        <v/>
      </c>
      <c r="D1549" t="str">
        <f>IF(DATA_INPUT!C972="","",DATA_INPUT!C972)</f>
        <v/>
      </c>
      <c r="E1549" s="27" t="str">
        <f>IF(DATA_INPUT!D972="","",DATA_INPUT!D972)</f>
        <v/>
      </c>
      <c r="F1549" t="str">
        <f t="shared" si="46"/>
        <v/>
      </c>
      <c r="G1549" t="str">
        <f t="shared" si="47"/>
        <v/>
      </c>
    </row>
    <row r="1550" spans="1:7">
      <c r="A1550" s="10" t="str">
        <f>IF(DATA_INPUT!A973="","",DATA_INPUT!A973)</f>
        <v/>
      </c>
      <c r="B1550" t="str">
        <f t="shared" si="45"/>
        <v/>
      </c>
      <c r="C1550" t="str">
        <f>IF(DATA_INPUT!B973="","",DATA_INPUT!B973)</f>
        <v/>
      </c>
      <c r="D1550" t="str">
        <f>IF(DATA_INPUT!C973="","",DATA_INPUT!C973)</f>
        <v/>
      </c>
      <c r="E1550" s="27" t="str">
        <f>IF(DATA_INPUT!D973="","",DATA_INPUT!D973)</f>
        <v/>
      </c>
      <c r="F1550" t="str">
        <f t="shared" si="46"/>
        <v/>
      </c>
      <c r="G1550" t="str">
        <f t="shared" si="47"/>
        <v/>
      </c>
    </row>
    <row r="1551" spans="1:7">
      <c r="A1551" s="10" t="str">
        <f>IF(DATA_INPUT!A974="","",DATA_INPUT!A974)</f>
        <v/>
      </c>
      <c r="B1551" t="str">
        <f t="shared" si="45"/>
        <v/>
      </c>
      <c r="C1551" t="str">
        <f>IF(DATA_INPUT!B974="","",DATA_INPUT!B974)</f>
        <v/>
      </c>
      <c r="D1551" t="str">
        <f>IF(DATA_INPUT!C974="","",DATA_INPUT!C974)</f>
        <v/>
      </c>
      <c r="E1551" s="27" t="str">
        <f>IF(DATA_INPUT!D974="","",DATA_INPUT!D974)</f>
        <v/>
      </c>
      <c r="F1551" t="str">
        <f t="shared" si="46"/>
        <v/>
      </c>
      <c r="G1551" t="str">
        <f t="shared" si="47"/>
        <v/>
      </c>
    </row>
    <row r="1552" spans="1:7">
      <c r="A1552" s="10" t="str">
        <f>IF(DATA_INPUT!A975="","",DATA_INPUT!A975)</f>
        <v/>
      </c>
      <c r="B1552" t="str">
        <f t="shared" si="45"/>
        <v/>
      </c>
      <c r="C1552" t="str">
        <f>IF(DATA_INPUT!B975="","",DATA_INPUT!B975)</f>
        <v/>
      </c>
      <c r="D1552" t="str">
        <f>IF(DATA_INPUT!C975="","",DATA_INPUT!C975)</f>
        <v/>
      </c>
      <c r="E1552" s="27" t="str">
        <f>IF(DATA_INPUT!D975="","",DATA_INPUT!D975)</f>
        <v/>
      </c>
      <c r="F1552" t="str">
        <f t="shared" si="46"/>
        <v/>
      </c>
      <c r="G1552" t="str">
        <f t="shared" si="47"/>
        <v/>
      </c>
    </row>
    <row r="1553" spans="1:7">
      <c r="A1553" s="10" t="str">
        <f>IF(DATA_INPUT!A976="","",DATA_INPUT!A976)</f>
        <v/>
      </c>
      <c r="B1553" t="str">
        <f t="shared" si="45"/>
        <v/>
      </c>
      <c r="C1553" t="str">
        <f>IF(DATA_INPUT!B976="","",DATA_INPUT!B976)</f>
        <v/>
      </c>
      <c r="D1553" t="str">
        <f>IF(DATA_INPUT!C976="","",DATA_INPUT!C976)</f>
        <v/>
      </c>
      <c r="E1553" s="27" t="str">
        <f>IF(DATA_INPUT!D976="","",DATA_INPUT!D976)</f>
        <v/>
      </c>
      <c r="F1553" t="str">
        <f t="shared" si="46"/>
        <v/>
      </c>
      <c r="G1553" t="str">
        <f t="shared" si="47"/>
        <v/>
      </c>
    </row>
    <row r="1554" spans="1:7">
      <c r="A1554" s="10" t="str">
        <f>IF(DATA_INPUT!A977="","",DATA_INPUT!A977)</f>
        <v/>
      </c>
      <c r="B1554" t="str">
        <f t="shared" si="45"/>
        <v/>
      </c>
      <c r="C1554" t="str">
        <f>IF(DATA_INPUT!B977="","",DATA_INPUT!B977)</f>
        <v/>
      </c>
      <c r="D1554" t="str">
        <f>IF(DATA_INPUT!C977="","",DATA_INPUT!C977)</f>
        <v/>
      </c>
      <c r="E1554" s="27" t="str">
        <f>IF(DATA_INPUT!D977="","",DATA_INPUT!D977)</f>
        <v/>
      </c>
      <c r="F1554" t="str">
        <f t="shared" si="46"/>
        <v/>
      </c>
      <c r="G1554" t="str">
        <f t="shared" si="47"/>
        <v/>
      </c>
    </row>
    <row r="1555" spans="1:7">
      <c r="A1555" s="10" t="str">
        <f>IF(DATA_INPUT!A978="","",DATA_INPUT!A978)</f>
        <v/>
      </c>
      <c r="B1555" t="str">
        <f t="shared" si="45"/>
        <v/>
      </c>
      <c r="C1555" t="str">
        <f>IF(DATA_INPUT!B978="","",DATA_INPUT!B978)</f>
        <v/>
      </c>
      <c r="D1555" t="str">
        <f>IF(DATA_INPUT!C978="","",DATA_INPUT!C978)</f>
        <v/>
      </c>
      <c r="E1555" s="27" t="str">
        <f>IF(DATA_INPUT!D978="","",DATA_INPUT!D978)</f>
        <v/>
      </c>
      <c r="F1555" t="str">
        <f t="shared" si="46"/>
        <v/>
      </c>
      <c r="G1555" t="str">
        <f t="shared" si="47"/>
        <v/>
      </c>
    </row>
    <row r="1556" spans="1:7">
      <c r="A1556" s="10" t="str">
        <f>IF(DATA_INPUT!A979="","",DATA_INPUT!A979)</f>
        <v/>
      </c>
      <c r="B1556" t="str">
        <f t="shared" si="45"/>
        <v/>
      </c>
      <c r="C1556" t="str">
        <f>IF(DATA_INPUT!B979="","",DATA_INPUT!B979)</f>
        <v/>
      </c>
      <c r="D1556" t="str">
        <f>IF(DATA_INPUT!C979="","",DATA_INPUT!C979)</f>
        <v/>
      </c>
      <c r="E1556" s="27" t="str">
        <f>IF(DATA_INPUT!D979="","",DATA_INPUT!D979)</f>
        <v/>
      </c>
      <c r="F1556" t="str">
        <f t="shared" si="46"/>
        <v/>
      </c>
      <c r="G1556" t="str">
        <f t="shared" si="47"/>
        <v/>
      </c>
    </row>
    <row r="1557" spans="1:7">
      <c r="A1557" s="10" t="str">
        <f>IF(DATA_INPUT!A980="","",DATA_INPUT!A980)</f>
        <v/>
      </c>
      <c r="B1557" t="str">
        <f t="shared" si="45"/>
        <v/>
      </c>
      <c r="C1557" t="str">
        <f>IF(DATA_INPUT!B980="","",DATA_INPUT!B980)</f>
        <v/>
      </c>
      <c r="D1557" t="str">
        <f>IF(DATA_INPUT!C980="","",DATA_INPUT!C980)</f>
        <v/>
      </c>
      <c r="E1557" s="27" t="str">
        <f>IF(DATA_INPUT!D980="","",DATA_INPUT!D980)</f>
        <v/>
      </c>
      <c r="F1557" t="str">
        <f t="shared" si="46"/>
        <v/>
      </c>
      <c r="G1557" t="str">
        <f t="shared" si="47"/>
        <v/>
      </c>
    </row>
    <row r="1558" spans="1:7">
      <c r="A1558" s="10" t="str">
        <f>IF(DATA_INPUT!A981="","",DATA_INPUT!A981)</f>
        <v/>
      </c>
      <c r="B1558" t="str">
        <f t="shared" si="45"/>
        <v/>
      </c>
      <c r="C1558" t="str">
        <f>IF(DATA_INPUT!B981="","",DATA_INPUT!B981)</f>
        <v/>
      </c>
      <c r="D1558" t="str">
        <f>IF(DATA_INPUT!C981="","",DATA_INPUT!C981)</f>
        <v/>
      </c>
      <c r="E1558" s="27" t="str">
        <f>IF(DATA_INPUT!D981="","",DATA_INPUT!D981)</f>
        <v/>
      </c>
      <c r="F1558" t="str">
        <f t="shared" si="46"/>
        <v/>
      </c>
      <c r="G1558" t="str">
        <f t="shared" si="47"/>
        <v/>
      </c>
    </row>
    <row r="1559" spans="1:7">
      <c r="A1559" s="10" t="str">
        <f>IF(DATA_INPUT!A982="","",DATA_INPUT!A982)</f>
        <v/>
      </c>
      <c r="B1559" t="str">
        <f t="shared" si="45"/>
        <v/>
      </c>
      <c r="C1559" t="str">
        <f>IF(DATA_INPUT!B982="","",DATA_INPUT!B982)</f>
        <v/>
      </c>
      <c r="D1559" t="str">
        <f>IF(DATA_INPUT!C982="","",DATA_INPUT!C982)</f>
        <v/>
      </c>
      <c r="E1559" s="27" t="str">
        <f>IF(DATA_INPUT!D982="","",DATA_INPUT!D982)</f>
        <v/>
      </c>
      <c r="F1559" t="str">
        <f t="shared" si="46"/>
        <v/>
      </c>
      <c r="G1559" t="str">
        <f t="shared" si="47"/>
        <v/>
      </c>
    </row>
    <row r="1560" spans="1:7">
      <c r="A1560" s="10" t="str">
        <f>IF(DATA_INPUT!A983="","",DATA_INPUT!A983)</f>
        <v/>
      </c>
      <c r="B1560" t="str">
        <f t="shared" si="45"/>
        <v/>
      </c>
      <c r="C1560" t="str">
        <f>IF(DATA_INPUT!B983="","",DATA_INPUT!B983)</f>
        <v/>
      </c>
      <c r="D1560" t="str">
        <f>IF(DATA_INPUT!C983="","",DATA_INPUT!C983)</f>
        <v/>
      </c>
      <c r="E1560" s="27" t="str">
        <f>IF(DATA_INPUT!D983="","",DATA_INPUT!D983)</f>
        <v/>
      </c>
      <c r="F1560" t="str">
        <f t="shared" si="46"/>
        <v/>
      </c>
      <c r="G1560" t="str">
        <f t="shared" si="47"/>
        <v/>
      </c>
    </row>
    <row r="1561" spans="1:7">
      <c r="A1561" s="10" t="str">
        <f>IF(DATA_INPUT!A984="","",DATA_INPUT!A984)</f>
        <v/>
      </c>
      <c r="B1561" t="str">
        <f t="shared" si="45"/>
        <v/>
      </c>
      <c r="C1561" t="str">
        <f>IF(DATA_INPUT!B984="","",DATA_INPUT!B984)</f>
        <v/>
      </c>
      <c r="D1561" t="str">
        <f>IF(DATA_INPUT!C984="","",DATA_INPUT!C984)</f>
        <v/>
      </c>
      <c r="E1561" s="27" t="str">
        <f>IF(DATA_INPUT!D984="","",DATA_INPUT!D984)</f>
        <v/>
      </c>
      <c r="F1561" t="str">
        <f t="shared" si="46"/>
        <v/>
      </c>
      <c r="G1561" t="str">
        <f t="shared" si="47"/>
        <v/>
      </c>
    </row>
    <row r="1562" spans="1:7">
      <c r="A1562" s="10" t="str">
        <f>IF(DATA_INPUT!A985="","",DATA_INPUT!A985)</f>
        <v/>
      </c>
      <c r="B1562" t="str">
        <f t="shared" si="45"/>
        <v/>
      </c>
      <c r="C1562" t="str">
        <f>IF(DATA_INPUT!B985="","",DATA_INPUT!B985)</f>
        <v/>
      </c>
      <c r="D1562" t="str">
        <f>IF(DATA_INPUT!C985="","",DATA_INPUT!C985)</f>
        <v/>
      </c>
      <c r="E1562" s="27" t="str">
        <f>IF(DATA_INPUT!D985="","",DATA_INPUT!D985)</f>
        <v/>
      </c>
      <c r="F1562" t="str">
        <f t="shared" si="46"/>
        <v/>
      </c>
      <c r="G1562" t="str">
        <f t="shared" si="47"/>
        <v/>
      </c>
    </row>
    <row r="1563" spans="1:7">
      <c r="A1563" s="10" t="str">
        <f>IF(DATA_INPUT!A986="","",DATA_INPUT!A986)</f>
        <v/>
      </c>
      <c r="B1563" t="str">
        <f t="shared" si="45"/>
        <v/>
      </c>
      <c r="C1563" t="str">
        <f>IF(DATA_INPUT!B986="","",DATA_INPUT!B986)</f>
        <v/>
      </c>
      <c r="D1563" t="str">
        <f>IF(DATA_INPUT!C986="","",DATA_INPUT!C986)</f>
        <v/>
      </c>
      <c r="E1563" s="27" t="str">
        <f>IF(DATA_INPUT!D986="","",DATA_INPUT!D986)</f>
        <v/>
      </c>
      <c r="F1563" t="str">
        <f t="shared" si="46"/>
        <v/>
      </c>
      <c r="G1563" t="str">
        <f t="shared" si="47"/>
        <v/>
      </c>
    </row>
    <row r="1564" spans="1:7">
      <c r="A1564" s="10" t="str">
        <f>IF(DATA_INPUT!A987="","",DATA_INPUT!A987)</f>
        <v/>
      </c>
      <c r="B1564" t="str">
        <f t="shared" si="45"/>
        <v/>
      </c>
      <c r="C1564" t="str">
        <f>IF(DATA_INPUT!B987="","",DATA_INPUT!B987)</f>
        <v/>
      </c>
      <c r="D1564" t="str">
        <f>IF(DATA_INPUT!C987="","",DATA_INPUT!C987)</f>
        <v/>
      </c>
      <c r="E1564" s="27" t="str">
        <f>IF(DATA_INPUT!D987="","",DATA_INPUT!D987)</f>
        <v/>
      </c>
      <c r="F1564" t="str">
        <f t="shared" si="46"/>
        <v/>
      </c>
      <c r="G1564" t="str">
        <f t="shared" si="47"/>
        <v/>
      </c>
    </row>
    <row r="1565" spans="1:7">
      <c r="A1565" s="10" t="str">
        <f>IF(DATA_INPUT!A988="","",DATA_INPUT!A988)</f>
        <v/>
      </c>
      <c r="B1565" t="str">
        <f t="shared" si="45"/>
        <v/>
      </c>
      <c r="C1565" t="str">
        <f>IF(DATA_INPUT!B988="","",DATA_INPUT!B988)</f>
        <v/>
      </c>
      <c r="D1565" t="str">
        <f>IF(DATA_INPUT!C988="","",DATA_INPUT!C988)</f>
        <v/>
      </c>
      <c r="E1565" s="27" t="str">
        <f>IF(DATA_INPUT!D988="","",DATA_INPUT!D988)</f>
        <v/>
      </c>
      <c r="F1565" t="str">
        <f t="shared" si="46"/>
        <v/>
      </c>
      <c r="G1565" t="str">
        <f t="shared" si="47"/>
        <v/>
      </c>
    </row>
    <row r="1566" spans="1:7">
      <c r="A1566" s="10" t="str">
        <f>IF(DATA_INPUT!A989="","",DATA_INPUT!A989)</f>
        <v/>
      </c>
      <c r="B1566" t="str">
        <f t="shared" si="45"/>
        <v/>
      </c>
      <c r="C1566" t="str">
        <f>IF(DATA_INPUT!B989="","",DATA_INPUT!B989)</f>
        <v/>
      </c>
      <c r="D1566" t="str">
        <f>IF(DATA_INPUT!C989="","",DATA_INPUT!C989)</f>
        <v/>
      </c>
      <c r="E1566" s="27" t="str">
        <f>IF(DATA_INPUT!D989="","",DATA_INPUT!D989)</f>
        <v/>
      </c>
      <c r="F1566" t="str">
        <f t="shared" si="46"/>
        <v/>
      </c>
      <c r="G1566" t="str">
        <f t="shared" si="47"/>
        <v/>
      </c>
    </row>
    <row r="1567" spans="1:7">
      <c r="A1567" s="10" t="str">
        <f>IF(DATA_INPUT!A990="","",DATA_INPUT!A990)</f>
        <v/>
      </c>
      <c r="B1567" t="str">
        <f t="shared" si="45"/>
        <v/>
      </c>
      <c r="C1567" t="str">
        <f>IF(DATA_INPUT!B990="","",DATA_INPUT!B990)</f>
        <v/>
      </c>
      <c r="D1567" t="str">
        <f>IF(DATA_INPUT!C990="","",DATA_INPUT!C990)</f>
        <v/>
      </c>
      <c r="E1567" s="27" t="str">
        <f>IF(DATA_INPUT!D990="","",DATA_INPUT!D990)</f>
        <v/>
      </c>
      <c r="F1567" t="str">
        <f t="shared" si="46"/>
        <v/>
      </c>
      <c r="G1567" t="str">
        <f t="shared" si="47"/>
        <v/>
      </c>
    </row>
    <row r="1568" spans="1:7">
      <c r="A1568" s="10" t="str">
        <f>IF(DATA_INPUT!A991="","",DATA_INPUT!A991)</f>
        <v/>
      </c>
      <c r="B1568" t="str">
        <f t="shared" si="45"/>
        <v/>
      </c>
      <c r="C1568" t="str">
        <f>IF(DATA_INPUT!B991="","",DATA_INPUT!B991)</f>
        <v/>
      </c>
      <c r="D1568" t="str">
        <f>IF(DATA_INPUT!C991="","",DATA_INPUT!C991)</f>
        <v/>
      </c>
      <c r="E1568" s="27" t="str">
        <f>IF(DATA_INPUT!D991="","",DATA_INPUT!D991)</f>
        <v/>
      </c>
      <c r="F1568" t="str">
        <f t="shared" si="46"/>
        <v/>
      </c>
      <c r="G1568" t="str">
        <f t="shared" si="47"/>
        <v/>
      </c>
    </row>
    <row r="1569" spans="1:7">
      <c r="A1569" s="10" t="str">
        <f>IF(DATA_INPUT!A992="","",DATA_INPUT!A992)</f>
        <v/>
      </c>
      <c r="B1569" t="str">
        <f t="shared" si="45"/>
        <v/>
      </c>
      <c r="C1569" t="str">
        <f>IF(DATA_INPUT!B992="","",DATA_INPUT!B992)</f>
        <v/>
      </c>
      <c r="D1569" t="str">
        <f>IF(DATA_INPUT!C992="","",DATA_INPUT!C992)</f>
        <v/>
      </c>
      <c r="E1569" s="27" t="str">
        <f>IF(DATA_INPUT!D992="","",DATA_INPUT!D992)</f>
        <v/>
      </c>
      <c r="F1569" t="str">
        <f t="shared" si="46"/>
        <v/>
      </c>
      <c r="G1569" t="str">
        <f t="shared" si="47"/>
        <v/>
      </c>
    </row>
    <row r="1570" spans="1:7">
      <c r="A1570" s="10" t="str">
        <f>IF(DATA_INPUT!A993="","",DATA_INPUT!A993)</f>
        <v/>
      </c>
      <c r="B1570" t="str">
        <f t="shared" si="45"/>
        <v/>
      </c>
      <c r="C1570" t="str">
        <f>IF(DATA_INPUT!B993="","",DATA_INPUT!B993)</f>
        <v/>
      </c>
      <c r="D1570" t="str">
        <f>IF(DATA_INPUT!C993="","",DATA_INPUT!C993)</f>
        <v/>
      </c>
      <c r="E1570" s="27" t="str">
        <f>IF(DATA_INPUT!D993="","",DATA_INPUT!D993)</f>
        <v/>
      </c>
      <c r="F1570" t="str">
        <f t="shared" si="46"/>
        <v/>
      </c>
      <c r="G1570" t="str">
        <f t="shared" si="47"/>
        <v/>
      </c>
    </row>
    <row r="1571" spans="1:7">
      <c r="A1571" s="10" t="str">
        <f>IF(DATA_INPUT!A994="","",DATA_INPUT!A994)</f>
        <v/>
      </c>
      <c r="B1571" t="str">
        <f t="shared" si="45"/>
        <v/>
      </c>
      <c r="C1571" t="str">
        <f>IF(DATA_INPUT!B994="","",DATA_INPUT!B994)</f>
        <v/>
      </c>
      <c r="D1571" t="str">
        <f>IF(DATA_INPUT!C994="","",DATA_INPUT!C994)</f>
        <v/>
      </c>
      <c r="E1571" s="27" t="str">
        <f>IF(DATA_INPUT!D994="","",DATA_INPUT!D994)</f>
        <v/>
      </c>
      <c r="F1571" t="str">
        <f t="shared" si="46"/>
        <v/>
      </c>
      <c r="G1571" t="str">
        <f t="shared" si="47"/>
        <v/>
      </c>
    </row>
    <row r="1572" spans="1:7">
      <c r="A1572" s="10" t="str">
        <f>IF(DATA_INPUT!A995="","",DATA_INPUT!A995)</f>
        <v/>
      </c>
      <c r="B1572" t="str">
        <f t="shared" si="45"/>
        <v/>
      </c>
      <c r="C1572" t="str">
        <f>IF(DATA_INPUT!B995="","",DATA_INPUT!B995)</f>
        <v/>
      </c>
      <c r="D1572" t="str">
        <f>IF(DATA_INPUT!C995="","",DATA_INPUT!C995)</f>
        <v/>
      </c>
      <c r="E1572" s="27" t="str">
        <f>IF(DATA_INPUT!D995="","",DATA_INPUT!D995)</f>
        <v/>
      </c>
      <c r="F1572" t="str">
        <f t="shared" si="46"/>
        <v/>
      </c>
      <c r="G1572" t="str">
        <f t="shared" si="47"/>
        <v/>
      </c>
    </row>
    <row r="1573" spans="1:7">
      <c r="A1573" s="10" t="str">
        <f>IF(DATA_INPUT!A996="","",DATA_INPUT!A996)</f>
        <v/>
      </c>
      <c r="B1573" t="str">
        <f t="shared" si="45"/>
        <v/>
      </c>
      <c r="C1573" t="str">
        <f>IF(DATA_INPUT!B996="","",DATA_INPUT!B996)</f>
        <v/>
      </c>
      <c r="D1573" t="str">
        <f>IF(DATA_INPUT!C996="","",DATA_INPUT!C996)</f>
        <v/>
      </c>
      <c r="E1573" s="27" t="str">
        <f>IF(DATA_INPUT!D996="","",DATA_INPUT!D996)</f>
        <v/>
      </c>
      <c r="F1573" t="str">
        <f t="shared" si="46"/>
        <v/>
      </c>
      <c r="G1573" t="str">
        <f t="shared" si="47"/>
        <v/>
      </c>
    </row>
    <row r="1574" spans="1:7">
      <c r="A1574" s="10" t="str">
        <f>IF(DATA_INPUT!A997="","",DATA_INPUT!A997)</f>
        <v/>
      </c>
      <c r="B1574" t="str">
        <f t="shared" si="45"/>
        <v/>
      </c>
      <c r="C1574" t="str">
        <f>IF(DATA_INPUT!B997="","",DATA_INPUT!B997)</f>
        <v/>
      </c>
      <c r="D1574" t="str">
        <f>IF(DATA_INPUT!C997="","",DATA_INPUT!C997)</f>
        <v/>
      </c>
      <c r="E1574" s="27" t="str">
        <f>IF(DATA_INPUT!D997="","",DATA_INPUT!D997)</f>
        <v/>
      </c>
      <c r="F1574" t="str">
        <f t="shared" si="46"/>
        <v/>
      </c>
      <c r="G1574" t="str">
        <f t="shared" si="47"/>
        <v/>
      </c>
    </row>
    <row r="1575" spans="1:7">
      <c r="A1575" s="10" t="str">
        <f>IF(DATA_INPUT!A998="","",DATA_INPUT!A998)</f>
        <v/>
      </c>
      <c r="B1575" t="str">
        <f t="shared" si="45"/>
        <v/>
      </c>
      <c r="C1575" t="str">
        <f>IF(DATA_INPUT!B998="","",DATA_INPUT!B998)</f>
        <v/>
      </c>
      <c r="D1575" t="str">
        <f>IF(DATA_INPUT!C998="","",DATA_INPUT!C998)</f>
        <v/>
      </c>
      <c r="E1575" s="27" t="str">
        <f>IF(DATA_INPUT!D998="","",DATA_INPUT!D998)</f>
        <v/>
      </c>
      <c r="F1575" t="str">
        <f t="shared" si="46"/>
        <v/>
      </c>
      <c r="G1575" t="str">
        <f t="shared" si="47"/>
        <v/>
      </c>
    </row>
    <row r="1576" spans="1:7">
      <c r="A1576" s="10" t="str">
        <f>IF(DATA_INPUT!A999="","",DATA_INPUT!A999)</f>
        <v/>
      </c>
      <c r="B1576" t="str">
        <f t="shared" si="45"/>
        <v/>
      </c>
      <c r="C1576" t="str">
        <f>IF(DATA_INPUT!B999="","",DATA_INPUT!B999)</f>
        <v/>
      </c>
      <c r="D1576" t="str">
        <f>IF(DATA_INPUT!C999="","",DATA_INPUT!C999)</f>
        <v/>
      </c>
      <c r="E1576" s="27" t="str">
        <f>IF(DATA_INPUT!D999="","",DATA_INPUT!D999)</f>
        <v/>
      </c>
      <c r="F1576" t="str">
        <f t="shared" si="46"/>
        <v/>
      </c>
      <c r="G1576" t="str">
        <f t="shared" si="47"/>
        <v/>
      </c>
    </row>
    <row r="1577" spans="1:7">
      <c r="A1577" s="10" t="str">
        <f>IF(DATA_INPUT!A1000="","",DATA_INPUT!A1000)</f>
        <v/>
      </c>
      <c r="B1577" t="str">
        <f t="shared" si="45"/>
        <v/>
      </c>
      <c r="C1577" t="str">
        <f>IF(DATA_INPUT!B1000="","",DATA_INPUT!B1000)</f>
        <v/>
      </c>
      <c r="D1577" t="str">
        <f>IF(DATA_INPUT!C1000="","",DATA_INPUT!C1000)</f>
        <v/>
      </c>
      <c r="E1577" s="27" t="str">
        <f>IF(DATA_INPUT!D1000="","",DATA_INPUT!D1000)</f>
        <v/>
      </c>
      <c r="F1577" t="str">
        <f t="shared" si="46"/>
        <v/>
      </c>
      <c r="G1577" t="str">
        <f t="shared" si="47"/>
        <v/>
      </c>
    </row>
    <row r="1578" spans="1:7">
      <c r="A1578" s="10" t="str">
        <f>IF(DATA_INPUT!A1001="","",DATA_INPUT!A1001)</f>
        <v/>
      </c>
      <c r="B1578" t="str">
        <f t="shared" si="45"/>
        <v/>
      </c>
      <c r="C1578" t="str">
        <f>IF(DATA_INPUT!B1001="","",DATA_INPUT!B1001)</f>
        <v/>
      </c>
      <c r="D1578" t="str">
        <f>IF(DATA_INPUT!C1001="","",DATA_INPUT!C1001)</f>
        <v/>
      </c>
      <c r="E1578" s="27" t="str">
        <f>IF(DATA_INPUT!D1001="","",DATA_INPUT!D1001)</f>
        <v/>
      </c>
      <c r="F1578" t="str">
        <f t="shared" si="46"/>
        <v/>
      </c>
      <c r="G1578" t="str">
        <f t="shared" si="47"/>
        <v/>
      </c>
    </row>
    <row r="1579" spans="1:7">
      <c r="A1579" s="10" t="str">
        <f>IF(DATA_INPUT!A1002="","",DATA_INPUT!A1002)</f>
        <v/>
      </c>
      <c r="B1579" t="str">
        <f t="shared" si="45"/>
        <v/>
      </c>
      <c r="C1579" t="str">
        <f>IF(DATA_INPUT!B1002="","",DATA_INPUT!B1002)</f>
        <v/>
      </c>
      <c r="D1579" t="str">
        <f>IF(DATA_INPUT!C1002="","",DATA_INPUT!C1002)</f>
        <v/>
      </c>
      <c r="E1579" s="27" t="str">
        <f>IF(DATA_INPUT!D1002="","",DATA_INPUT!D1002)</f>
        <v/>
      </c>
      <c r="F1579" t="str">
        <f t="shared" si="46"/>
        <v/>
      </c>
      <c r="G1579" t="str">
        <f t="shared" si="47"/>
        <v/>
      </c>
    </row>
    <row r="1580" spans="1:7">
      <c r="A1580" s="10" t="str">
        <f>IF(DATA_INPUT!A1003="","",DATA_INPUT!A1003)</f>
        <v/>
      </c>
      <c r="B1580" t="str">
        <f t="shared" si="45"/>
        <v/>
      </c>
      <c r="C1580" t="str">
        <f>IF(DATA_INPUT!B1003="","",DATA_INPUT!B1003)</f>
        <v/>
      </c>
      <c r="D1580" t="str">
        <f>IF(DATA_INPUT!C1003="","",DATA_INPUT!C1003)</f>
        <v/>
      </c>
      <c r="E1580" s="27" t="str">
        <f>IF(DATA_INPUT!D1003="","",DATA_INPUT!D1003)</f>
        <v/>
      </c>
      <c r="F1580" t="str">
        <f t="shared" si="46"/>
        <v/>
      </c>
      <c r="G1580" t="str">
        <f t="shared" si="47"/>
        <v/>
      </c>
    </row>
    <row r="1581" spans="1:7">
      <c r="A1581" s="10" t="str">
        <f>IF(DATA_INPUT!A1004="","",DATA_INPUT!A1004)</f>
        <v/>
      </c>
      <c r="B1581" t="str">
        <f t="shared" si="45"/>
        <v/>
      </c>
      <c r="C1581" t="str">
        <f>IF(DATA_INPUT!B1004="","",DATA_INPUT!B1004)</f>
        <v/>
      </c>
      <c r="D1581" t="str">
        <f>IF(DATA_INPUT!C1004="","",DATA_INPUT!C1004)</f>
        <v/>
      </c>
      <c r="E1581" s="27" t="str">
        <f>IF(DATA_INPUT!D1004="","",DATA_INPUT!D1004)</f>
        <v/>
      </c>
      <c r="F1581" t="str">
        <f t="shared" si="46"/>
        <v/>
      </c>
      <c r="G1581" t="str">
        <f t="shared" si="47"/>
        <v/>
      </c>
    </row>
    <row r="1582" spans="1:7">
      <c r="A1582" s="10" t="str">
        <f>IF(DATA_INPUT!A1005="","",DATA_INPUT!A1005)</f>
        <v/>
      </c>
      <c r="B1582" t="str">
        <f t="shared" si="45"/>
        <v/>
      </c>
      <c r="C1582" t="str">
        <f>IF(DATA_INPUT!B1005="","",DATA_INPUT!B1005)</f>
        <v/>
      </c>
      <c r="D1582" t="str">
        <f>IF(DATA_INPUT!C1005="","",DATA_INPUT!C1005)</f>
        <v/>
      </c>
      <c r="E1582" s="27" t="str">
        <f>IF(DATA_INPUT!D1005="","",DATA_INPUT!D1005)</f>
        <v/>
      </c>
      <c r="F1582" t="str">
        <f t="shared" si="46"/>
        <v/>
      </c>
      <c r="G1582" t="str">
        <f t="shared" si="47"/>
        <v/>
      </c>
    </row>
    <row r="1583" spans="1:7">
      <c r="A1583" s="10" t="str">
        <f>IF(DATA_INPUT!A1006="","",DATA_INPUT!A1006)</f>
        <v/>
      </c>
      <c r="B1583" t="str">
        <f t="shared" si="45"/>
        <v/>
      </c>
      <c r="C1583" t="str">
        <f>IF(DATA_INPUT!B1006="","",DATA_INPUT!B1006)</f>
        <v/>
      </c>
      <c r="D1583" t="str">
        <f>IF(DATA_INPUT!C1006="","",DATA_INPUT!C1006)</f>
        <v/>
      </c>
      <c r="E1583" s="27" t="str">
        <f>IF(DATA_INPUT!D1006="","",DATA_INPUT!D1006)</f>
        <v/>
      </c>
      <c r="F1583" t="str">
        <f t="shared" si="46"/>
        <v/>
      </c>
      <c r="G1583" t="str">
        <f t="shared" si="47"/>
        <v/>
      </c>
    </row>
    <row r="1584" spans="1:7">
      <c r="A1584" s="10" t="str">
        <f>IF(DATA_INPUT!A1007="","",DATA_INPUT!A1007)</f>
        <v/>
      </c>
      <c r="B1584" t="str">
        <f t="shared" si="45"/>
        <v/>
      </c>
      <c r="C1584" t="str">
        <f>IF(DATA_INPUT!B1007="","",DATA_INPUT!B1007)</f>
        <v/>
      </c>
      <c r="D1584" t="str">
        <f>IF(DATA_INPUT!C1007="","",DATA_INPUT!C1007)</f>
        <v/>
      </c>
      <c r="E1584" s="27" t="str">
        <f>IF(DATA_INPUT!D1007="","",DATA_INPUT!D1007)</f>
        <v/>
      </c>
      <c r="F1584" t="str">
        <f t="shared" si="46"/>
        <v/>
      </c>
      <c r="G1584" t="str">
        <f t="shared" si="47"/>
        <v/>
      </c>
    </row>
    <row r="1585" spans="1:7">
      <c r="A1585" s="10" t="str">
        <f>IF(DATA_INPUT!A1008="","",DATA_INPUT!A1008)</f>
        <v/>
      </c>
      <c r="B1585" t="str">
        <f t="shared" si="45"/>
        <v/>
      </c>
      <c r="C1585" t="str">
        <f>IF(DATA_INPUT!B1008="","",DATA_INPUT!B1008)</f>
        <v/>
      </c>
      <c r="D1585" t="str">
        <f>IF(DATA_INPUT!C1008="","",DATA_INPUT!C1008)</f>
        <v/>
      </c>
      <c r="E1585" s="27" t="str">
        <f>IF(DATA_INPUT!D1008="","",DATA_INPUT!D1008)</f>
        <v/>
      </c>
      <c r="F1585" t="str">
        <f t="shared" si="46"/>
        <v/>
      </c>
      <c r="G1585" t="str">
        <f t="shared" si="47"/>
        <v/>
      </c>
    </row>
    <row r="1586" spans="1:7">
      <c r="A1586" s="10" t="str">
        <f>IF(DATA_INPUT!A1009="","",DATA_INPUT!A1009)</f>
        <v/>
      </c>
      <c r="B1586" t="str">
        <f t="shared" si="45"/>
        <v/>
      </c>
      <c r="C1586" t="str">
        <f>IF(DATA_INPUT!B1009="","",DATA_INPUT!B1009)</f>
        <v/>
      </c>
      <c r="D1586" t="str">
        <f>IF(DATA_INPUT!C1009="","",DATA_INPUT!C1009)</f>
        <v/>
      </c>
      <c r="E1586" s="27" t="str">
        <f>IF(DATA_INPUT!D1009="","",DATA_INPUT!D1009)</f>
        <v/>
      </c>
      <c r="F1586" t="str">
        <f t="shared" si="46"/>
        <v/>
      </c>
      <c r="G1586" t="str">
        <f t="shared" si="47"/>
        <v/>
      </c>
    </row>
    <row r="1587" spans="1:7">
      <c r="A1587" s="10" t="str">
        <f>IF(DATA_INPUT!A1010="","",DATA_INPUT!A1010)</f>
        <v/>
      </c>
      <c r="B1587" t="str">
        <f t="shared" si="45"/>
        <v/>
      </c>
      <c r="C1587" t="str">
        <f>IF(DATA_INPUT!B1010="","",DATA_INPUT!B1010)</f>
        <v/>
      </c>
      <c r="D1587" t="str">
        <f>IF(DATA_INPUT!C1010="","",DATA_INPUT!C1010)</f>
        <v/>
      </c>
      <c r="E1587" s="27" t="str">
        <f>IF(DATA_INPUT!D1010="","",DATA_INPUT!D1010)</f>
        <v/>
      </c>
      <c r="F1587" t="str">
        <f t="shared" si="46"/>
        <v/>
      </c>
      <c r="G1587" t="str">
        <f t="shared" si="47"/>
        <v/>
      </c>
    </row>
    <row r="1588" spans="1:7">
      <c r="A1588" s="10" t="str">
        <f>IF(DATA_INPUT!A1011="","",DATA_INPUT!A1011)</f>
        <v/>
      </c>
      <c r="B1588" t="str">
        <f t="shared" si="45"/>
        <v/>
      </c>
      <c r="C1588" t="str">
        <f>IF(DATA_INPUT!B1011="","",DATA_INPUT!B1011)</f>
        <v/>
      </c>
      <c r="D1588" t="str">
        <f>IF(DATA_INPUT!C1011="","",DATA_INPUT!C1011)</f>
        <v/>
      </c>
      <c r="E1588" s="27" t="str">
        <f>IF(DATA_INPUT!D1011="","",DATA_INPUT!D1011)</f>
        <v/>
      </c>
      <c r="F1588" t="str">
        <f t="shared" si="46"/>
        <v/>
      </c>
      <c r="G1588" t="str">
        <f t="shared" si="47"/>
        <v/>
      </c>
    </row>
    <row r="1589" spans="1:7">
      <c r="A1589" s="10" t="str">
        <f>IF(DATA_INPUT!A1012="","",DATA_INPUT!A1012)</f>
        <v/>
      </c>
      <c r="B1589" t="str">
        <f t="shared" si="45"/>
        <v/>
      </c>
      <c r="C1589" t="str">
        <f>IF(DATA_INPUT!B1012="","",DATA_INPUT!B1012)</f>
        <v/>
      </c>
      <c r="D1589" t="str">
        <f>IF(DATA_INPUT!C1012="","",DATA_INPUT!C1012)</f>
        <v/>
      </c>
      <c r="E1589" s="27" t="str">
        <f>IF(DATA_INPUT!D1012="","",DATA_INPUT!D1012)</f>
        <v/>
      </c>
      <c r="F1589" t="str">
        <f t="shared" si="46"/>
        <v/>
      </c>
      <c r="G1589" t="str">
        <f t="shared" si="47"/>
        <v/>
      </c>
    </row>
    <row r="1590" spans="1:7">
      <c r="A1590" s="10" t="str">
        <f>IF(DATA_INPUT!A1013="","",DATA_INPUT!A1013)</f>
        <v/>
      </c>
      <c r="B1590" t="str">
        <f t="shared" si="45"/>
        <v/>
      </c>
      <c r="C1590" t="str">
        <f>IF(DATA_INPUT!B1013="","",DATA_INPUT!B1013)</f>
        <v/>
      </c>
      <c r="D1590" t="str">
        <f>IF(DATA_INPUT!C1013="","",DATA_INPUT!C1013)</f>
        <v/>
      </c>
      <c r="E1590" s="27" t="str">
        <f>IF(DATA_INPUT!D1013="","",DATA_INPUT!D1013)</f>
        <v/>
      </c>
      <c r="F1590" t="str">
        <f t="shared" si="46"/>
        <v/>
      </c>
      <c r="G1590" t="str">
        <f t="shared" si="47"/>
        <v/>
      </c>
    </row>
    <row r="1591" spans="1:7">
      <c r="A1591" s="10" t="str">
        <f>IF(DATA_INPUT!A1014="","",DATA_INPUT!A1014)</f>
        <v/>
      </c>
      <c r="B1591" t="str">
        <f t="shared" si="45"/>
        <v/>
      </c>
      <c r="C1591" t="str">
        <f>IF(DATA_INPUT!B1014="","",DATA_INPUT!B1014)</f>
        <v/>
      </c>
      <c r="D1591" t="str">
        <f>IF(DATA_INPUT!C1014="","",DATA_INPUT!C1014)</f>
        <v/>
      </c>
      <c r="E1591" s="27" t="str">
        <f>IF(DATA_INPUT!D1014="","",DATA_INPUT!D1014)</f>
        <v/>
      </c>
      <c r="F1591" t="str">
        <f t="shared" si="46"/>
        <v/>
      </c>
      <c r="G1591" t="str">
        <f t="shared" si="47"/>
        <v/>
      </c>
    </row>
    <row r="1592" spans="1:7">
      <c r="A1592" s="10" t="str">
        <f>IF(DATA_INPUT!A1015="","",DATA_INPUT!A1015)</f>
        <v/>
      </c>
      <c r="B1592" t="str">
        <f t="shared" si="45"/>
        <v/>
      </c>
      <c r="C1592" t="str">
        <f>IF(DATA_INPUT!B1015="","",DATA_INPUT!B1015)</f>
        <v/>
      </c>
      <c r="D1592" t="str">
        <f>IF(DATA_INPUT!C1015="","",DATA_INPUT!C1015)</f>
        <v/>
      </c>
      <c r="E1592" s="27" t="str">
        <f>IF(DATA_INPUT!D1015="","",DATA_INPUT!D1015)</f>
        <v/>
      </c>
      <c r="F1592" t="str">
        <f t="shared" si="46"/>
        <v/>
      </c>
      <c r="G1592" t="str">
        <f t="shared" si="47"/>
        <v/>
      </c>
    </row>
    <row r="1593" spans="1:7">
      <c r="A1593" s="10" t="str">
        <f>IF(DATA_INPUT!A1016="","",DATA_INPUT!A1016)</f>
        <v/>
      </c>
      <c r="B1593" t="str">
        <f t="shared" si="45"/>
        <v/>
      </c>
      <c r="C1593" t="str">
        <f>IF(DATA_INPUT!B1016="","",DATA_INPUT!B1016)</f>
        <v/>
      </c>
      <c r="D1593" t="str">
        <f>IF(DATA_INPUT!C1016="","",DATA_INPUT!C1016)</f>
        <v/>
      </c>
      <c r="E1593" s="27" t="str">
        <f>IF(DATA_INPUT!D1016="","",DATA_INPUT!D1016)</f>
        <v/>
      </c>
      <c r="F1593" t="str">
        <f t="shared" si="46"/>
        <v/>
      </c>
      <c r="G1593" t="str">
        <f t="shared" si="47"/>
        <v/>
      </c>
    </row>
    <row r="1594" spans="1:7">
      <c r="A1594" s="10" t="str">
        <f>IF(DATA_INPUT!A1017="","",DATA_INPUT!A1017)</f>
        <v/>
      </c>
      <c r="B1594" t="str">
        <f t="shared" si="45"/>
        <v/>
      </c>
      <c r="C1594" t="str">
        <f>IF(DATA_INPUT!B1017="","",DATA_INPUT!B1017)</f>
        <v/>
      </c>
      <c r="D1594" t="str">
        <f>IF(DATA_INPUT!C1017="","",DATA_INPUT!C1017)</f>
        <v/>
      </c>
      <c r="E1594" s="27" t="str">
        <f>IF(DATA_INPUT!D1017="","",DATA_INPUT!D1017)</f>
        <v/>
      </c>
      <c r="F1594" t="str">
        <f t="shared" si="46"/>
        <v/>
      </c>
      <c r="G1594" t="str">
        <f t="shared" si="47"/>
        <v/>
      </c>
    </row>
    <row r="1595" spans="1:7">
      <c r="A1595" s="10" t="str">
        <f>IF(DATA_INPUT!A1018="","",DATA_INPUT!A1018)</f>
        <v/>
      </c>
      <c r="B1595" t="str">
        <f t="shared" si="45"/>
        <v/>
      </c>
      <c r="C1595" t="str">
        <f>IF(DATA_INPUT!B1018="","",DATA_INPUT!B1018)</f>
        <v/>
      </c>
      <c r="D1595" t="str">
        <f>IF(DATA_INPUT!C1018="","",DATA_INPUT!C1018)</f>
        <v/>
      </c>
      <c r="E1595" s="27" t="str">
        <f>IF(DATA_INPUT!D1018="","",DATA_INPUT!D1018)</f>
        <v/>
      </c>
      <c r="F1595" t="str">
        <f t="shared" si="46"/>
        <v/>
      </c>
      <c r="G1595" t="str">
        <f t="shared" si="47"/>
        <v/>
      </c>
    </row>
    <row r="1596" spans="1:7">
      <c r="A1596" s="10" t="str">
        <f>IF(DATA_INPUT!A1019="","",DATA_INPUT!A1019)</f>
        <v/>
      </c>
      <c r="B1596" t="str">
        <f t="shared" si="45"/>
        <v/>
      </c>
      <c r="C1596" t="str">
        <f>IF(DATA_INPUT!B1019="","",DATA_INPUT!B1019)</f>
        <v/>
      </c>
      <c r="D1596" t="str">
        <f>IF(DATA_INPUT!C1019="","",DATA_INPUT!C1019)</f>
        <v/>
      </c>
      <c r="E1596" s="27" t="str">
        <f>IF(DATA_INPUT!D1019="","",DATA_INPUT!D1019)</f>
        <v/>
      </c>
      <c r="F1596" t="str">
        <f t="shared" si="46"/>
        <v/>
      </c>
      <c r="G1596" t="str">
        <f t="shared" si="47"/>
        <v/>
      </c>
    </row>
    <row r="1597" spans="1:7">
      <c r="A1597" s="10" t="str">
        <f>IF(DATA_INPUT!A1020="","",DATA_INPUT!A1020)</f>
        <v/>
      </c>
      <c r="B1597" t="str">
        <f t="shared" si="45"/>
        <v/>
      </c>
      <c r="C1597" t="str">
        <f>IF(DATA_INPUT!B1020="","",DATA_INPUT!B1020)</f>
        <v/>
      </c>
      <c r="D1597" t="str">
        <f>IF(DATA_INPUT!C1020="","",DATA_INPUT!C1020)</f>
        <v/>
      </c>
      <c r="E1597" s="27" t="str">
        <f>IF(DATA_INPUT!D1020="","",DATA_INPUT!D1020)</f>
        <v/>
      </c>
      <c r="F1597" t="str">
        <f t="shared" si="46"/>
        <v/>
      </c>
      <c r="G1597" t="str">
        <f t="shared" si="47"/>
        <v/>
      </c>
    </row>
    <row r="1598" spans="1:7">
      <c r="A1598" s="10" t="str">
        <f>IF(DATA_INPUT!A1021="","",DATA_INPUT!A1021)</f>
        <v/>
      </c>
      <c r="B1598" t="str">
        <f t="shared" si="45"/>
        <v/>
      </c>
      <c r="C1598" t="str">
        <f>IF(DATA_INPUT!B1021="","",DATA_INPUT!B1021)</f>
        <v/>
      </c>
      <c r="D1598" t="str">
        <f>IF(DATA_INPUT!C1021="","",DATA_INPUT!C1021)</f>
        <v/>
      </c>
      <c r="E1598" s="27" t="str">
        <f>IF(DATA_INPUT!D1021="","",DATA_INPUT!D1021)</f>
        <v/>
      </c>
      <c r="F1598" t="str">
        <f t="shared" si="46"/>
        <v/>
      </c>
      <c r="G1598" t="str">
        <f t="shared" si="47"/>
        <v/>
      </c>
    </row>
    <row r="1599" spans="1:7">
      <c r="A1599" s="10" t="str">
        <f>IF(DATA_INPUT!A1022="","",DATA_INPUT!A1022)</f>
        <v/>
      </c>
      <c r="B1599" t="str">
        <f t="shared" si="45"/>
        <v/>
      </c>
      <c r="C1599" t="str">
        <f>IF(DATA_INPUT!B1022="","",DATA_INPUT!B1022)</f>
        <v/>
      </c>
      <c r="D1599" t="str">
        <f>IF(DATA_INPUT!C1022="","",DATA_INPUT!C1022)</f>
        <v/>
      </c>
      <c r="E1599" s="27" t="str">
        <f>IF(DATA_INPUT!D1022="","",DATA_INPUT!D1022)</f>
        <v/>
      </c>
      <c r="F1599" t="str">
        <f t="shared" si="46"/>
        <v/>
      </c>
      <c r="G1599" t="str">
        <f t="shared" si="47"/>
        <v/>
      </c>
    </row>
    <row r="1600" spans="1:7">
      <c r="A1600" s="10" t="str">
        <f>IF(DATA_INPUT!A1023="","",DATA_INPUT!A1023)</f>
        <v/>
      </c>
      <c r="B1600" t="str">
        <f t="shared" si="45"/>
        <v/>
      </c>
      <c r="C1600" t="str">
        <f>IF(DATA_INPUT!B1023="","",DATA_INPUT!B1023)</f>
        <v/>
      </c>
      <c r="D1600" t="str">
        <f>IF(DATA_INPUT!C1023="","",DATA_INPUT!C1023)</f>
        <v/>
      </c>
      <c r="E1600" s="27" t="str">
        <f>IF(DATA_INPUT!D1023="","",DATA_INPUT!D1023)</f>
        <v/>
      </c>
      <c r="F1600" t="str">
        <f t="shared" si="46"/>
        <v/>
      </c>
      <c r="G1600" t="str">
        <f t="shared" si="47"/>
        <v/>
      </c>
    </row>
    <row r="1601" spans="1:7">
      <c r="A1601" s="10" t="str">
        <f>IF(DATA_INPUT!A1024="","",DATA_INPUT!A1024)</f>
        <v/>
      </c>
      <c r="B1601" t="str">
        <f t="shared" si="45"/>
        <v/>
      </c>
      <c r="C1601" t="str">
        <f>IF(DATA_INPUT!B1024="","",DATA_INPUT!B1024)</f>
        <v/>
      </c>
      <c r="D1601" t="str">
        <f>IF(DATA_INPUT!C1024="","",DATA_INPUT!C1024)</f>
        <v/>
      </c>
      <c r="E1601" s="27" t="str">
        <f>IF(DATA_INPUT!D1024="","",DATA_INPUT!D1024)</f>
        <v/>
      </c>
      <c r="F1601" t="str">
        <f t="shared" si="46"/>
        <v/>
      </c>
      <c r="G1601" t="str">
        <f t="shared" si="47"/>
        <v/>
      </c>
    </row>
    <row r="1602" spans="1:7">
      <c r="A1602" s="10" t="str">
        <f>IF(DATA_INPUT!A1025="","",DATA_INPUT!A1025)</f>
        <v/>
      </c>
      <c r="B1602" t="str">
        <f t="shared" si="45"/>
        <v/>
      </c>
      <c r="C1602" t="str">
        <f>IF(DATA_INPUT!B1025="","",DATA_INPUT!B1025)</f>
        <v/>
      </c>
      <c r="D1602" t="str">
        <f>IF(DATA_INPUT!C1025="","",DATA_INPUT!C1025)</f>
        <v/>
      </c>
      <c r="E1602" s="27" t="str">
        <f>IF(DATA_INPUT!D1025="","",DATA_INPUT!D1025)</f>
        <v/>
      </c>
      <c r="F1602" t="str">
        <f t="shared" si="46"/>
        <v/>
      </c>
      <c r="G1602" t="str">
        <f t="shared" si="47"/>
        <v/>
      </c>
    </row>
    <row r="1603" spans="1:7">
      <c r="A1603" s="10" t="str">
        <f>IF(DATA_INPUT!A1026="","",DATA_INPUT!A1026)</f>
        <v/>
      </c>
      <c r="B1603" t="str">
        <f t="shared" si="45"/>
        <v/>
      </c>
      <c r="C1603" t="str">
        <f>IF(DATA_INPUT!B1026="","",DATA_INPUT!B1026)</f>
        <v/>
      </c>
      <c r="D1603" t="str">
        <f>IF(DATA_INPUT!C1026="","",DATA_INPUT!C1026)</f>
        <v/>
      </c>
      <c r="E1603" s="27" t="str">
        <f>IF(DATA_INPUT!D1026="","",DATA_INPUT!D1026)</f>
        <v/>
      </c>
      <c r="F1603" t="str">
        <f t="shared" si="46"/>
        <v/>
      </c>
      <c r="G1603" t="str">
        <f t="shared" si="47"/>
        <v/>
      </c>
    </row>
    <row r="1604" spans="1:7">
      <c r="A1604" s="10" t="str">
        <f>IF(DATA_INPUT!A1027="","",DATA_INPUT!A1027)</f>
        <v/>
      </c>
      <c r="B1604" t="str">
        <f t="shared" ref="B1604:B1640" si="48">IF(A1604="","",TEXT(A1604,"dddd"))</f>
        <v/>
      </c>
      <c r="C1604" t="str">
        <f>IF(DATA_INPUT!B1027="","",DATA_INPUT!B1027)</f>
        <v/>
      </c>
      <c r="D1604" t="str">
        <f>IF(DATA_INPUT!C1027="","",DATA_INPUT!C1027)</f>
        <v/>
      </c>
      <c r="E1604" s="27" t="str">
        <f>IF(DATA_INPUT!D1027="","",DATA_INPUT!D1027)</f>
        <v/>
      </c>
      <c r="F1604" t="str">
        <f t="shared" ref="F1604:F1640" si="49">IF(A1604="","",TEXT(A1604,"mmm yyyy"))</f>
        <v/>
      </c>
      <c r="G1604" t="str">
        <f t="shared" ref="G1604:G1640" si="50">IF(A1604="","",WEEKNUM(A1604))</f>
        <v/>
      </c>
    </row>
    <row r="1605" spans="1:7">
      <c r="A1605" s="10" t="str">
        <f>IF(DATA_INPUT!A1028="","",DATA_INPUT!A1028)</f>
        <v/>
      </c>
      <c r="B1605" t="str">
        <f t="shared" si="48"/>
        <v/>
      </c>
      <c r="C1605" t="str">
        <f>IF(DATA_INPUT!B1028="","",DATA_INPUT!B1028)</f>
        <v/>
      </c>
      <c r="D1605" t="str">
        <f>IF(DATA_INPUT!C1028="","",DATA_INPUT!C1028)</f>
        <v/>
      </c>
      <c r="E1605" s="27" t="str">
        <f>IF(DATA_INPUT!D1028="","",DATA_INPUT!D1028)</f>
        <v/>
      </c>
      <c r="F1605" t="str">
        <f t="shared" si="49"/>
        <v/>
      </c>
      <c r="G1605" t="str">
        <f t="shared" si="50"/>
        <v/>
      </c>
    </row>
    <row r="1606" spans="1:7">
      <c r="A1606" s="10" t="str">
        <f>IF(DATA_INPUT!A1029="","",DATA_INPUT!A1029)</f>
        <v/>
      </c>
      <c r="B1606" t="str">
        <f t="shared" si="48"/>
        <v/>
      </c>
      <c r="C1606" t="str">
        <f>IF(DATA_INPUT!B1029="","",DATA_INPUT!B1029)</f>
        <v/>
      </c>
      <c r="D1606" t="str">
        <f>IF(DATA_INPUT!C1029="","",DATA_INPUT!C1029)</f>
        <v/>
      </c>
      <c r="E1606" s="27" t="str">
        <f>IF(DATA_INPUT!D1029="","",DATA_INPUT!D1029)</f>
        <v/>
      </c>
      <c r="F1606" t="str">
        <f t="shared" si="49"/>
        <v/>
      </c>
      <c r="G1606" t="str">
        <f t="shared" si="50"/>
        <v/>
      </c>
    </row>
    <row r="1607" spans="1:7">
      <c r="A1607" s="10" t="str">
        <f>IF(DATA_INPUT!A1030="","",DATA_INPUT!A1030)</f>
        <v/>
      </c>
      <c r="B1607" t="str">
        <f t="shared" si="48"/>
        <v/>
      </c>
      <c r="C1607" t="str">
        <f>IF(DATA_INPUT!B1030="","",DATA_INPUT!B1030)</f>
        <v/>
      </c>
      <c r="D1607" t="str">
        <f>IF(DATA_INPUT!C1030="","",DATA_INPUT!C1030)</f>
        <v/>
      </c>
      <c r="E1607" s="27" t="str">
        <f>IF(DATA_INPUT!D1030="","",DATA_INPUT!D1030)</f>
        <v/>
      </c>
      <c r="F1607" t="str">
        <f t="shared" si="49"/>
        <v/>
      </c>
      <c r="G1607" t="str">
        <f t="shared" si="50"/>
        <v/>
      </c>
    </row>
    <row r="1608" spans="1:7">
      <c r="A1608" s="10" t="str">
        <f>IF(DATA_INPUT!A1031="","",DATA_INPUT!A1031)</f>
        <v/>
      </c>
      <c r="B1608" t="str">
        <f t="shared" si="48"/>
        <v/>
      </c>
      <c r="C1608" t="str">
        <f>IF(DATA_INPUT!B1031="","",DATA_INPUT!B1031)</f>
        <v/>
      </c>
      <c r="D1608" t="str">
        <f>IF(DATA_INPUT!C1031="","",DATA_INPUT!C1031)</f>
        <v/>
      </c>
      <c r="E1608" s="27" t="str">
        <f>IF(DATA_INPUT!D1031="","",DATA_INPUT!D1031)</f>
        <v/>
      </c>
      <c r="F1608" t="str">
        <f t="shared" si="49"/>
        <v/>
      </c>
      <c r="G1608" t="str">
        <f t="shared" si="50"/>
        <v/>
      </c>
    </row>
    <row r="1609" spans="1:7">
      <c r="A1609" s="10" t="str">
        <f>IF(DATA_INPUT!A1032="","",DATA_INPUT!A1032)</f>
        <v/>
      </c>
      <c r="B1609" t="str">
        <f t="shared" si="48"/>
        <v/>
      </c>
      <c r="C1609" t="str">
        <f>IF(DATA_INPUT!B1032="","",DATA_INPUT!B1032)</f>
        <v/>
      </c>
      <c r="D1609" t="str">
        <f>IF(DATA_INPUT!C1032="","",DATA_INPUT!C1032)</f>
        <v/>
      </c>
      <c r="E1609" s="27" t="str">
        <f>IF(DATA_INPUT!D1032="","",DATA_INPUT!D1032)</f>
        <v/>
      </c>
      <c r="F1609" t="str">
        <f t="shared" si="49"/>
        <v/>
      </c>
      <c r="G1609" t="str">
        <f t="shared" si="50"/>
        <v/>
      </c>
    </row>
    <row r="1610" spans="1:7">
      <c r="A1610" s="10" t="str">
        <f>IF(DATA_INPUT!A1033="","",DATA_INPUT!A1033)</f>
        <v/>
      </c>
      <c r="B1610" t="str">
        <f t="shared" si="48"/>
        <v/>
      </c>
      <c r="C1610" t="str">
        <f>IF(DATA_INPUT!B1033="","",DATA_INPUT!B1033)</f>
        <v/>
      </c>
      <c r="D1610" t="str">
        <f>IF(DATA_INPUT!C1033="","",DATA_INPUT!C1033)</f>
        <v/>
      </c>
      <c r="E1610" s="27" t="str">
        <f>IF(DATA_INPUT!D1033="","",DATA_INPUT!D1033)</f>
        <v/>
      </c>
      <c r="F1610" t="str">
        <f t="shared" si="49"/>
        <v/>
      </c>
      <c r="G1610" t="str">
        <f t="shared" si="50"/>
        <v/>
      </c>
    </row>
    <row r="1611" spans="1:7">
      <c r="A1611" s="10" t="str">
        <f>IF(DATA_INPUT!A1034="","",DATA_INPUT!A1034)</f>
        <v/>
      </c>
      <c r="B1611" t="str">
        <f t="shared" si="48"/>
        <v/>
      </c>
      <c r="C1611" t="str">
        <f>IF(DATA_INPUT!B1034="","",DATA_INPUT!B1034)</f>
        <v/>
      </c>
      <c r="D1611" t="str">
        <f>IF(DATA_INPUT!C1034="","",DATA_INPUT!C1034)</f>
        <v/>
      </c>
      <c r="E1611" s="27" t="str">
        <f>IF(DATA_INPUT!D1034="","",DATA_INPUT!D1034)</f>
        <v/>
      </c>
      <c r="F1611" t="str">
        <f t="shared" si="49"/>
        <v/>
      </c>
      <c r="G1611" t="str">
        <f t="shared" si="50"/>
        <v/>
      </c>
    </row>
    <row r="1612" spans="1:7">
      <c r="A1612" s="10" t="str">
        <f>IF(DATA_INPUT!A1035="","",DATA_INPUT!A1035)</f>
        <v/>
      </c>
      <c r="B1612" t="str">
        <f t="shared" si="48"/>
        <v/>
      </c>
      <c r="C1612" t="str">
        <f>IF(DATA_INPUT!B1035="","",DATA_INPUT!B1035)</f>
        <v/>
      </c>
      <c r="D1612" t="str">
        <f>IF(DATA_INPUT!C1035="","",DATA_INPUT!C1035)</f>
        <v/>
      </c>
      <c r="E1612" s="27" t="str">
        <f>IF(DATA_INPUT!D1035="","",DATA_INPUT!D1035)</f>
        <v/>
      </c>
      <c r="F1612" t="str">
        <f t="shared" si="49"/>
        <v/>
      </c>
      <c r="G1612" t="str">
        <f t="shared" si="50"/>
        <v/>
      </c>
    </row>
    <row r="1613" spans="1:7">
      <c r="A1613" s="10" t="str">
        <f>IF(DATA_INPUT!A1036="","",DATA_INPUT!A1036)</f>
        <v/>
      </c>
      <c r="B1613" t="str">
        <f t="shared" si="48"/>
        <v/>
      </c>
      <c r="C1613" t="str">
        <f>IF(DATA_INPUT!B1036="","",DATA_INPUT!B1036)</f>
        <v/>
      </c>
      <c r="D1613" t="str">
        <f>IF(DATA_INPUT!C1036="","",DATA_INPUT!C1036)</f>
        <v/>
      </c>
      <c r="E1613" s="27" t="str">
        <f>IF(DATA_INPUT!D1036="","",DATA_INPUT!D1036)</f>
        <v/>
      </c>
      <c r="F1613" t="str">
        <f t="shared" si="49"/>
        <v/>
      </c>
      <c r="G1613" t="str">
        <f t="shared" si="50"/>
        <v/>
      </c>
    </row>
    <row r="1614" spans="1:7">
      <c r="A1614" s="10" t="str">
        <f>IF(DATA_INPUT!A1037="","",DATA_INPUT!A1037)</f>
        <v/>
      </c>
      <c r="B1614" t="str">
        <f t="shared" si="48"/>
        <v/>
      </c>
      <c r="C1614" t="str">
        <f>IF(DATA_INPUT!B1037="","",DATA_INPUT!B1037)</f>
        <v/>
      </c>
      <c r="D1614" t="str">
        <f>IF(DATA_INPUT!C1037="","",DATA_INPUT!C1037)</f>
        <v/>
      </c>
      <c r="E1614" s="27" t="str">
        <f>IF(DATA_INPUT!D1037="","",DATA_INPUT!D1037)</f>
        <v/>
      </c>
      <c r="F1614" t="str">
        <f t="shared" si="49"/>
        <v/>
      </c>
      <c r="G1614" t="str">
        <f t="shared" si="50"/>
        <v/>
      </c>
    </row>
    <row r="1615" spans="1:7">
      <c r="A1615" s="10" t="str">
        <f>IF(DATA_INPUT!A1038="","",DATA_INPUT!A1038)</f>
        <v/>
      </c>
      <c r="B1615" t="str">
        <f t="shared" si="48"/>
        <v/>
      </c>
      <c r="C1615" t="str">
        <f>IF(DATA_INPUT!B1038="","",DATA_INPUT!B1038)</f>
        <v/>
      </c>
      <c r="D1615" t="str">
        <f>IF(DATA_INPUT!C1038="","",DATA_INPUT!C1038)</f>
        <v/>
      </c>
      <c r="E1615" s="27" t="str">
        <f>IF(DATA_INPUT!D1038="","",DATA_INPUT!D1038)</f>
        <v/>
      </c>
      <c r="F1615" t="str">
        <f t="shared" si="49"/>
        <v/>
      </c>
      <c r="G1615" t="str">
        <f t="shared" si="50"/>
        <v/>
      </c>
    </row>
    <row r="1616" spans="1:7">
      <c r="A1616" s="10" t="str">
        <f>IF(DATA_INPUT!A1039="","",DATA_INPUT!A1039)</f>
        <v/>
      </c>
      <c r="B1616" t="str">
        <f t="shared" si="48"/>
        <v/>
      </c>
      <c r="C1616" t="str">
        <f>IF(DATA_INPUT!B1039="","",DATA_INPUT!B1039)</f>
        <v/>
      </c>
      <c r="D1616" t="str">
        <f>IF(DATA_INPUT!C1039="","",DATA_INPUT!C1039)</f>
        <v/>
      </c>
      <c r="E1616" s="27" t="str">
        <f>IF(DATA_INPUT!D1039="","",DATA_INPUT!D1039)</f>
        <v/>
      </c>
      <c r="F1616" t="str">
        <f t="shared" si="49"/>
        <v/>
      </c>
      <c r="G1616" t="str">
        <f t="shared" si="50"/>
        <v/>
      </c>
    </row>
    <row r="1617" spans="1:7">
      <c r="A1617" s="10" t="str">
        <f>IF(DATA_INPUT!A1040="","",DATA_INPUT!A1040)</f>
        <v/>
      </c>
      <c r="B1617" t="str">
        <f t="shared" si="48"/>
        <v/>
      </c>
      <c r="C1617" t="str">
        <f>IF(DATA_INPUT!B1040="","",DATA_INPUT!B1040)</f>
        <v/>
      </c>
      <c r="D1617" t="str">
        <f>IF(DATA_INPUT!C1040="","",DATA_INPUT!C1040)</f>
        <v/>
      </c>
      <c r="E1617" s="27" t="str">
        <f>IF(DATA_INPUT!D1040="","",DATA_INPUT!D1040)</f>
        <v/>
      </c>
      <c r="F1617" t="str">
        <f t="shared" si="49"/>
        <v/>
      </c>
      <c r="G1617" t="str">
        <f t="shared" si="50"/>
        <v/>
      </c>
    </row>
    <row r="1618" spans="1:7">
      <c r="A1618" s="10" t="str">
        <f>IF(DATA_INPUT!A1041="","",DATA_INPUT!A1041)</f>
        <v/>
      </c>
      <c r="B1618" t="str">
        <f t="shared" si="48"/>
        <v/>
      </c>
      <c r="C1618" t="str">
        <f>IF(DATA_INPUT!B1041="","",DATA_INPUT!B1041)</f>
        <v/>
      </c>
      <c r="D1618" t="str">
        <f>IF(DATA_INPUT!C1041="","",DATA_INPUT!C1041)</f>
        <v/>
      </c>
      <c r="E1618" s="27" t="str">
        <f>IF(DATA_INPUT!D1041="","",DATA_INPUT!D1041)</f>
        <v/>
      </c>
      <c r="F1618" t="str">
        <f t="shared" si="49"/>
        <v/>
      </c>
      <c r="G1618" t="str">
        <f t="shared" si="50"/>
        <v/>
      </c>
    </row>
    <row r="1619" spans="1:7">
      <c r="A1619" s="10" t="str">
        <f>IF(DATA_INPUT!A1042="","",DATA_INPUT!A1042)</f>
        <v/>
      </c>
      <c r="B1619" t="str">
        <f t="shared" si="48"/>
        <v/>
      </c>
      <c r="C1619" t="str">
        <f>IF(DATA_INPUT!B1042="","",DATA_INPUT!B1042)</f>
        <v/>
      </c>
      <c r="D1619" t="str">
        <f>IF(DATA_INPUT!C1042="","",DATA_INPUT!C1042)</f>
        <v/>
      </c>
      <c r="E1619" s="27" t="str">
        <f>IF(DATA_INPUT!D1042="","",DATA_INPUT!D1042)</f>
        <v/>
      </c>
      <c r="F1619" t="str">
        <f t="shared" si="49"/>
        <v/>
      </c>
      <c r="G1619" t="str">
        <f t="shared" si="50"/>
        <v/>
      </c>
    </row>
    <row r="1620" spans="1:7">
      <c r="A1620" s="10" t="str">
        <f>IF(DATA_INPUT!A1043="","",DATA_INPUT!A1043)</f>
        <v/>
      </c>
      <c r="B1620" t="str">
        <f t="shared" si="48"/>
        <v/>
      </c>
      <c r="C1620" t="str">
        <f>IF(DATA_INPUT!B1043="","",DATA_INPUT!B1043)</f>
        <v/>
      </c>
      <c r="D1620" t="str">
        <f>IF(DATA_INPUT!C1043="","",DATA_INPUT!C1043)</f>
        <v/>
      </c>
      <c r="E1620" s="27" t="str">
        <f>IF(DATA_INPUT!D1043="","",DATA_INPUT!D1043)</f>
        <v/>
      </c>
      <c r="F1620" t="str">
        <f t="shared" si="49"/>
        <v/>
      </c>
      <c r="G1620" t="str">
        <f t="shared" si="50"/>
        <v/>
      </c>
    </row>
    <row r="1621" spans="1:7">
      <c r="A1621" s="10" t="str">
        <f>IF(DATA_INPUT!A1044="","",DATA_INPUT!A1044)</f>
        <v/>
      </c>
      <c r="B1621" t="str">
        <f t="shared" si="48"/>
        <v/>
      </c>
      <c r="C1621" t="str">
        <f>IF(DATA_INPUT!B1044="","",DATA_INPUT!B1044)</f>
        <v/>
      </c>
      <c r="D1621" t="str">
        <f>IF(DATA_INPUT!C1044="","",DATA_INPUT!C1044)</f>
        <v/>
      </c>
      <c r="E1621" s="27" t="str">
        <f>IF(DATA_INPUT!D1044="","",DATA_INPUT!D1044)</f>
        <v/>
      </c>
      <c r="F1621" t="str">
        <f t="shared" si="49"/>
        <v/>
      </c>
      <c r="G1621" t="str">
        <f t="shared" si="50"/>
        <v/>
      </c>
    </row>
    <row r="1622" spans="1:7">
      <c r="A1622" s="10" t="str">
        <f>IF(DATA_INPUT!A1045="","",DATA_INPUT!A1045)</f>
        <v/>
      </c>
      <c r="B1622" t="str">
        <f t="shared" si="48"/>
        <v/>
      </c>
      <c r="C1622" t="str">
        <f>IF(DATA_INPUT!B1045="","",DATA_INPUT!B1045)</f>
        <v/>
      </c>
      <c r="D1622" t="str">
        <f>IF(DATA_INPUT!C1045="","",DATA_INPUT!C1045)</f>
        <v/>
      </c>
      <c r="E1622" s="27" t="str">
        <f>IF(DATA_INPUT!D1045="","",DATA_INPUT!D1045)</f>
        <v/>
      </c>
      <c r="F1622" t="str">
        <f t="shared" si="49"/>
        <v/>
      </c>
      <c r="G1622" t="str">
        <f t="shared" si="50"/>
        <v/>
      </c>
    </row>
    <row r="1623" spans="1:7">
      <c r="A1623" s="10" t="str">
        <f>IF(DATA_INPUT!A1046="","",DATA_INPUT!A1046)</f>
        <v/>
      </c>
      <c r="B1623" t="str">
        <f t="shared" si="48"/>
        <v/>
      </c>
      <c r="C1623" t="str">
        <f>IF(DATA_INPUT!B1046="","",DATA_INPUT!B1046)</f>
        <v/>
      </c>
      <c r="D1623" t="str">
        <f>IF(DATA_INPUT!C1046="","",DATA_INPUT!C1046)</f>
        <v/>
      </c>
      <c r="E1623" s="27" t="str">
        <f>IF(DATA_INPUT!D1046="","",DATA_INPUT!D1046)</f>
        <v/>
      </c>
      <c r="F1623" t="str">
        <f t="shared" si="49"/>
        <v/>
      </c>
      <c r="G1623" t="str">
        <f t="shared" si="50"/>
        <v/>
      </c>
    </row>
    <row r="1624" spans="1:7">
      <c r="A1624" s="10" t="str">
        <f>IF(DATA_INPUT!A1047="","",DATA_INPUT!A1047)</f>
        <v/>
      </c>
      <c r="B1624" t="str">
        <f t="shared" si="48"/>
        <v/>
      </c>
      <c r="C1624" t="str">
        <f>IF(DATA_INPUT!B1047="","",DATA_INPUT!B1047)</f>
        <v/>
      </c>
      <c r="D1624" t="str">
        <f>IF(DATA_INPUT!C1047="","",DATA_INPUT!C1047)</f>
        <v/>
      </c>
      <c r="E1624" s="27" t="str">
        <f>IF(DATA_INPUT!D1047="","",DATA_INPUT!D1047)</f>
        <v/>
      </c>
      <c r="F1624" t="str">
        <f t="shared" si="49"/>
        <v/>
      </c>
      <c r="G1624" t="str">
        <f t="shared" si="50"/>
        <v/>
      </c>
    </row>
    <row r="1625" spans="1:7">
      <c r="A1625" s="10" t="str">
        <f>IF(DATA_INPUT!A1048="","",DATA_INPUT!A1048)</f>
        <v/>
      </c>
      <c r="B1625" t="str">
        <f t="shared" si="48"/>
        <v/>
      </c>
      <c r="C1625" t="str">
        <f>IF(DATA_INPUT!B1048="","",DATA_INPUT!B1048)</f>
        <v/>
      </c>
      <c r="D1625" t="str">
        <f>IF(DATA_INPUT!C1048="","",DATA_INPUT!C1048)</f>
        <v/>
      </c>
      <c r="E1625" s="27" t="str">
        <f>IF(DATA_INPUT!D1048="","",DATA_INPUT!D1048)</f>
        <v/>
      </c>
      <c r="F1625" t="str">
        <f t="shared" si="49"/>
        <v/>
      </c>
      <c r="G1625" t="str">
        <f t="shared" si="50"/>
        <v/>
      </c>
    </row>
    <row r="1626" spans="1:7">
      <c r="A1626" s="10" t="str">
        <f>IF(DATA_INPUT!A1049="","",DATA_INPUT!A1049)</f>
        <v/>
      </c>
      <c r="B1626" t="str">
        <f t="shared" si="48"/>
        <v/>
      </c>
      <c r="C1626" t="str">
        <f>IF(DATA_INPUT!B1049="","",DATA_INPUT!B1049)</f>
        <v/>
      </c>
      <c r="D1626" t="str">
        <f>IF(DATA_INPUT!C1049="","",DATA_INPUT!C1049)</f>
        <v/>
      </c>
      <c r="E1626" s="27" t="str">
        <f>IF(DATA_INPUT!D1049="","",DATA_INPUT!D1049)</f>
        <v/>
      </c>
      <c r="F1626" t="str">
        <f t="shared" si="49"/>
        <v/>
      </c>
      <c r="G1626" t="str">
        <f t="shared" si="50"/>
        <v/>
      </c>
    </row>
    <row r="1627" spans="1:7">
      <c r="A1627" s="10" t="str">
        <f>IF(DATA_INPUT!A1050="","",DATA_INPUT!A1050)</f>
        <v/>
      </c>
      <c r="B1627" t="str">
        <f t="shared" si="48"/>
        <v/>
      </c>
      <c r="C1627" t="str">
        <f>IF(DATA_INPUT!B1050="","",DATA_INPUT!B1050)</f>
        <v/>
      </c>
      <c r="D1627" t="str">
        <f>IF(DATA_INPUT!C1050="","",DATA_INPUT!C1050)</f>
        <v/>
      </c>
      <c r="E1627" s="27" t="str">
        <f>IF(DATA_INPUT!D1050="","",DATA_INPUT!D1050)</f>
        <v/>
      </c>
      <c r="F1627" t="str">
        <f t="shared" si="49"/>
        <v/>
      </c>
      <c r="G1627" t="str">
        <f t="shared" si="50"/>
        <v/>
      </c>
    </row>
    <row r="1628" spans="1:7">
      <c r="A1628" s="10" t="str">
        <f>IF(DATA_INPUT!A1051="","",DATA_INPUT!A1051)</f>
        <v/>
      </c>
      <c r="B1628" t="str">
        <f t="shared" si="48"/>
        <v/>
      </c>
      <c r="C1628" t="str">
        <f>IF(DATA_INPUT!B1051="","",DATA_INPUT!B1051)</f>
        <v/>
      </c>
      <c r="D1628" t="str">
        <f>IF(DATA_INPUT!C1051="","",DATA_INPUT!C1051)</f>
        <v/>
      </c>
      <c r="E1628" s="27" t="str">
        <f>IF(DATA_INPUT!D1051="","",DATA_INPUT!D1051)</f>
        <v/>
      </c>
      <c r="F1628" t="str">
        <f t="shared" si="49"/>
        <v/>
      </c>
      <c r="G1628" t="str">
        <f t="shared" si="50"/>
        <v/>
      </c>
    </row>
    <row r="1629" spans="1:7">
      <c r="A1629" s="10" t="str">
        <f>IF(DATA_INPUT!A1052="","",DATA_INPUT!A1052)</f>
        <v/>
      </c>
      <c r="B1629" t="str">
        <f t="shared" si="48"/>
        <v/>
      </c>
      <c r="C1629" t="str">
        <f>IF(DATA_INPUT!B1052="","",DATA_INPUT!B1052)</f>
        <v/>
      </c>
      <c r="D1629" t="str">
        <f>IF(DATA_INPUT!C1052="","",DATA_INPUT!C1052)</f>
        <v/>
      </c>
      <c r="E1629" s="27" t="str">
        <f>IF(DATA_INPUT!D1052="","",DATA_INPUT!D1052)</f>
        <v/>
      </c>
      <c r="F1629" t="str">
        <f t="shared" si="49"/>
        <v/>
      </c>
      <c r="G1629" t="str">
        <f t="shared" si="50"/>
        <v/>
      </c>
    </row>
    <row r="1630" spans="1:7">
      <c r="A1630" s="10" t="str">
        <f>IF(DATA_INPUT!A1053="","",DATA_INPUT!A1053)</f>
        <v/>
      </c>
      <c r="B1630" t="str">
        <f t="shared" si="48"/>
        <v/>
      </c>
      <c r="C1630" t="str">
        <f>IF(DATA_INPUT!B1053="","",DATA_INPUT!B1053)</f>
        <v/>
      </c>
      <c r="D1630" t="str">
        <f>IF(DATA_INPUT!C1053="","",DATA_INPUT!C1053)</f>
        <v/>
      </c>
      <c r="E1630" s="27" t="str">
        <f>IF(DATA_INPUT!D1053="","",DATA_INPUT!D1053)</f>
        <v/>
      </c>
      <c r="F1630" t="str">
        <f t="shared" si="49"/>
        <v/>
      </c>
      <c r="G1630" t="str">
        <f t="shared" si="50"/>
        <v/>
      </c>
    </row>
    <row r="1631" spans="1:7">
      <c r="A1631" s="10" t="str">
        <f>IF(DATA_INPUT!A1054="","",DATA_INPUT!A1054)</f>
        <v/>
      </c>
      <c r="B1631" t="str">
        <f t="shared" si="48"/>
        <v/>
      </c>
      <c r="C1631" t="str">
        <f>IF(DATA_INPUT!B1054="","",DATA_INPUT!B1054)</f>
        <v/>
      </c>
      <c r="D1631" t="str">
        <f>IF(DATA_INPUT!C1054="","",DATA_INPUT!C1054)</f>
        <v/>
      </c>
      <c r="E1631" s="27" t="str">
        <f>IF(DATA_INPUT!D1054="","",DATA_INPUT!D1054)</f>
        <v/>
      </c>
      <c r="F1631" t="str">
        <f t="shared" si="49"/>
        <v/>
      </c>
      <c r="G1631" t="str">
        <f t="shared" si="50"/>
        <v/>
      </c>
    </row>
    <row r="1632" spans="1:7">
      <c r="A1632" s="10" t="str">
        <f>IF(DATA_INPUT!A1055="","",DATA_INPUT!A1055)</f>
        <v/>
      </c>
      <c r="B1632" t="str">
        <f t="shared" si="48"/>
        <v/>
      </c>
      <c r="C1632" t="str">
        <f>IF(DATA_INPUT!B1055="","",DATA_INPUT!B1055)</f>
        <v/>
      </c>
      <c r="D1632" t="str">
        <f>IF(DATA_INPUT!C1055="","",DATA_INPUT!C1055)</f>
        <v/>
      </c>
      <c r="E1632" s="27" t="str">
        <f>IF(DATA_INPUT!D1055="","",DATA_INPUT!D1055)</f>
        <v/>
      </c>
      <c r="F1632" t="str">
        <f t="shared" si="49"/>
        <v/>
      </c>
      <c r="G1632" t="str">
        <f t="shared" si="50"/>
        <v/>
      </c>
    </row>
    <row r="1633" spans="1:7">
      <c r="A1633" s="10" t="str">
        <f>IF(DATA_INPUT!A1056="","",DATA_INPUT!A1056)</f>
        <v/>
      </c>
      <c r="B1633" t="str">
        <f t="shared" si="48"/>
        <v/>
      </c>
      <c r="C1633" t="str">
        <f>IF(DATA_INPUT!B1056="","",DATA_INPUT!B1056)</f>
        <v/>
      </c>
      <c r="D1633" t="str">
        <f>IF(DATA_INPUT!C1056="","",DATA_INPUT!C1056)</f>
        <v/>
      </c>
      <c r="E1633" s="27" t="str">
        <f>IF(DATA_INPUT!D1056="","",DATA_INPUT!D1056)</f>
        <v/>
      </c>
      <c r="F1633" t="str">
        <f t="shared" si="49"/>
        <v/>
      </c>
      <c r="G1633" t="str">
        <f t="shared" si="50"/>
        <v/>
      </c>
    </row>
    <row r="1634" spans="1:7">
      <c r="A1634" s="10" t="str">
        <f>IF(DATA_INPUT!A1057="","",DATA_INPUT!A1057)</f>
        <v/>
      </c>
      <c r="B1634" t="str">
        <f t="shared" si="48"/>
        <v/>
      </c>
      <c r="C1634" t="str">
        <f>IF(DATA_INPUT!B1057="","",DATA_INPUT!B1057)</f>
        <v/>
      </c>
      <c r="D1634" t="str">
        <f>IF(DATA_INPUT!C1057="","",DATA_INPUT!C1057)</f>
        <v/>
      </c>
      <c r="E1634" s="27" t="str">
        <f>IF(DATA_INPUT!D1057="","",DATA_INPUT!D1057)</f>
        <v/>
      </c>
      <c r="F1634" t="str">
        <f t="shared" si="49"/>
        <v/>
      </c>
      <c r="G1634" t="str">
        <f t="shared" si="50"/>
        <v/>
      </c>
    </row>
    <row r="1635" spans="1:7">
      <c r="A1635" s="10" t="str">
        <f>IF(DATA_INPUT!A1058="","",DATA_INPUT!A1058)</f>
        <v/>
      </c>
      <c r="B1635" t="str">
        <f t="shared" si="48"/>
        <v/>
      </c>
      <c r="C1635" t="str">
        <f>IF(DATA_INPUT!B1058="","",DATA_INPUT!B1058)</f>
        <v/>
      </c>
      <c r="D1635" t="str">
        <f>IF(DATA_INPUT!C1058="","",DATA_INPUT!C1058)</f>
        <v/>
      </c>
      <c r="E1635" s="27" t="str">
        <f>IF(DATA_INPUT!D1058="","",DATA_INPUT!D1058)</f>
        <v/>
      </c>
      <c r="F1635" t="str">
        <f t="shared" si="49"/>
        <v/>
      </c>
      <c r="G1635" t="str">
        <f t="shared" si="50"/>
        <v/>
      </c>
    </row>
    <row r="1636" spans="1:7">
      <c r="A1636" s="10" t="str">
        <f>IF(DATA_INPUT!A1059="","",DATA_INPUT!A1059)</f>
        <v/>
      </c>
      <c r="B1636" t="str">
        <f t="shared" si="48"/>
        <v/>
      </c>
      <c r="C1636" t="str">
        <f>IF(DATA_INPUT!B1059="","",DATA_INPUT!B1059)</f>
        <v/>
      </c>
      <c r="D1636" t="str">
        <f>IF(DATA_INPUT!C1059="","",DATA_INPUT!C1059)</f>
        <v/>
      </c>
      <c r="E1636" s="27" t="str">
        <f>IF(DATA_INPUT!D1059="","",DATA_INPUT!D1059)</f>
        <v/>
      </c>
      <c r="F1636" t="str">
        <f t="shared" si="49"/>
        <v/>
      </c>
      <c r="G1636" t="str">
        <f t="shared" si="50"/>
        <v/>
      </c>
    </row>
    <row r="1637" spans="1:7">
      <c r="A1637" s="10" t="str">
        <f>IF(DATA_INPUT!A1060="","",DATA_INPUT!A1060)</f>
        <v/>
      </c>
      <c r="B1637" t="str">
        <f t="shared" si="48"/>
        <v/>
      </c>
      <c r="C1637" t="str">
        <f>IF(DATA_INPUT!B1060="","",DATA_INPUT!B1060)</f>
        <v/>
      </c>
      <c r="D1637" t="str">
        <f>IF(DATA_INPUT!C1060="","",DATA_INPUT!C1060)</f>
        <v/>
      </c>
      <c r="E1637" s="27" t="str">
        <f>IF(DATA_INPUT!D1060="","",DATA_INPUT!D1060)</f>
        <v/>
      </c>
      <c r="F1637" t="str">
        <f t="shared" si="49"/>
        <v/>
      </c>
      <c r="G1637" t="str">
        <f t="shared" si="50"/>
        <v/>
      </c>
    </row>
    <row r="1638" spans="1:7">
      <c r="A1638" s="10" t="str">
        <f>IF(DATA_INPUT!A1061="","",DATA_INPUT!A1061)</f>
        <v/>
      </c>
      <c r="B1638" t="str">
        <f t="shared" si="48"/>
        <v/>
      </c>
      <c r="C1638" t="str">
        <f>IF(DATA_INPUT!B1061="","",DATA_INPUT!B1061)</f>
        <v/>
      </c>
      <c r="D1638" t="str">
        <f>IF(DATA_INPUT!C1061="","",DATA_INPUT!C1061)</f>
        <v/>
      </c>
      <c r="E1638" s="27" t="str">
        <f>IF(DATA_INPUT!D1061="","",DATA_INPUT!D1061)</f>
        <v/>
      </c>
      <c r="F1638" t="str">
        <f t="shared" si="49"/>
        <v/>
      </c>
      <c r="G1638" t="str">
        <f t="shared" si="50"/>
        <v/>
      </c>
    </row>
    <row r="1639" spans="1:7">
      <c r="A1639" s="10" t="str">
        <f>IF(DATA_INPUT!A1062="","",DATA_INPUT!A1062)</f>
        <v/>
      </c>
      <c r="B1639" t="str">
        <f t="shared" si="48"/>
        <v/>
      </c>
      <c r="C1639" t="str">
        <f>IF(DATA_INPUT!B1062="","",DATA_INPUT!B1062)</f>
        <v/>
      </c>
      <c r="D1639" t="str">
        <f>IF(DATA_INPUT!C1062="","",DATA_INPUT!C1062)</f>
        <v/>
      </c>
      <c r="E1639" s="27" t="str">
        <f>IF(DATA_INPUT!D1062="","",DATA_INPUT!D1062)</f>
        <v/>
      </c>
      <c r="F1639" t="str">
        <f t="shared" si="49"/>
        <v/>
      </c>
      <c r="G1639" t="str">
        <f t="shared" si="50"/>
        <v/>
      </c>
    </row>
    <row r="1640" spans="1:7">
      <c r="A1640" s="10" t="str">
        <f>IF(DATA_INPUT!A1063="","",DATA_INPUT!A1063)</f>
        <v/>
      </c>
      <c r="B1640" t="str">
        <f t="shared" si="48"/>
        <v/>
      </c>
      <c r="C1640" t="str">
        <f>IF(DATA_INPUT!B1063="","",DATA_INPUT!B1063)</f>
        <v/>
      </c>
      <c r="D1640" t="str">
        <f>IF(DATA_INPUT!C1063="","",DATA_INPUT!C1063)</f>
        <v/>
      </c>
      <c r="E1640" s="27" t="str">
        <f>IF(DATA_INPUT!D1063="","",DATA_INPUT!D1063)</f>
        <v/>
      </c>
      <c r="F1640" t="str">
        <f t="shared" si="49"/>
        <v/>
      </c>
      <c r="G1640" t="str">
        <f t="shared" si="50"/>
        <v/>
      </c>
    </row>
  </sheetData>
  <pageMargins left="0.75" right="0.75" top="1" bottom="1" header="0.5" footer="0.5"/>
  <pageSetup paperSize="1" orientation="portrait"/>
  <headerFooter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9680D"/>
  </sheetPr>
  <dimension ref="A3:L31"/>
  <sheetViews>
    <sheetView topLeftCell="C1" workbookViewId="0">
      <pane ySplit="1" topLeftCell="A2" activePane="bottomLeft" state="frozen"/>
      <selection/>
      <selection pane="bottomLeft" activeCell="D4" sqref="D4:E11"/>
    </sheetView>
  </sheetViews>
  <sheetFormatPr defaultColWidth="9.14285714285714" defaultRowHeight="15"/>
  <cols>
    <col min="1" max="1" width="12.1428571428571"/>
    <col min="2" max="2" width="21.5714285714286"/>
    <col min="4" max="6" width="21.5714285714286"/>
    <col min="7" max="7" width="21.7142857142857"/>
    <col min="8" max="8" width="21.5714285714286"/>
    <col min="10" max="10" width="12.1428571428571"/>
    <col min="11" max="11" width="21.5714285714286"/>
  </cols>
  <sheetData>
    <row r="3" spans="1:11">
      <c r="A3" t="s">
        <v>0</v>
      </c>
      <c r="B3" t="s">
        <v>284</v>
      </c>
    </row>
    <row r="4" spans="1:11">
      <c r="A4" s="9">
        <v>46034</v>
      </c>
      <c r="B4">
        <v>4975</v>
      </c>
      <c r="D4" t="s">
        <v>30</v>
      </c>
      <c r="E4" t="s">
        <v>284</v>
      </c>
      <c r="G4" t="s">
        <v>2</v>
      </c>
      <c r="H4" t="s">
        <v>284</v>
      </c>
      <c r="J4" t="s">
        <v>84</v>
      </c>
      <c r="K4" t="s">
        <v>284</v>
      </c>
    </row>
    <row r="5" spans="1:11">
      <c r="A5" s="9">
        <v>46035</v>
      </c>
      <c r="B5">
        <v>1730</v>
      </c>
      <c r="D5" t="s">
        <v>35</v>
      </c>
      <c r="E5">
        <v>7621</v>
      </c>
      <c r="G5" t="s">
        <v>69</v>
      </c>
      <c r="H5">
        <v>390</v>
      </c>
      <c r="J5" t="s">
        <v>87</v>
      </c>
      <c r="K5">
        <v>132566</v>
      </c>
    </row>
    <row r="6" spans="1:11">
      <c r="A6" s="9">
        <v>46036</v>
      </c>
      <c r="B6">
        <v>1300</v>
      </c>
      <c r="D6" t="s">
        <v>255</v>
      </c>
      <c r="E6">
        <v>7500</v>
      </c>
      <c r="G6" t="s">
        <v>179</v>
      </c>
      <c r="H6">
        <v>100</v>
      </c>
      <c r="J6" t="s">
        <v>283</v>
      </c>
      <c r="K6">
        <v>270</v>
      </c>
    </row>
    <row r="7" spans="1:11">
      <c r="A7" s="9">
        <v>46037</v>
      </c>
      <c r="B7">
        <v>3330</v>
      </c>
      <c r="D7" t="s">
        <v>93</v>
      </c>
      <c r="E7">
        <v>4510</v>
      </c>
      <c r="G7" t="s">
        <v>95</v>
      </c>
      <c r="H7">
        <v>15425</v>
      </c>
      <c r="J7" t="s">
        <v>285</v>
      </c>
      <c r="K7">
        <v>132836</v>
      </c>
    </row>
    <row r="8" spans="1:11">
      <c r="A8" s="9">
        <v>46038</v>
      </c>
      <c r="B8">
        <v>6519</v>
      </c>
      <c r="D8" t="s">
        <v>94</v>
      </c>
      <c r="E8">
        <v>2700</v>
      </c>
      <c r="G8" t="s">
        <v>261</v>
      </c>
      <c r="H8">
        <v>50</v>
      </c>
    </row>
    <row r="9" spans="1:11">
      <c r="A9" s="9">
        <v>46039</v>
      </c>
      <c r="B9">
        <v>4760</v>
      </c>
      <c r="D9" t="s">
        <v>256</v>
      </c>
      <c r="E9">
        <v>2200</v>
      </c>
      <c r="G9" t="s">
        <v>99</v>
      </c>
      <c r="H9">
        <v>1930</v>
      </c>
    </row>
    <row r="10" spans="1:11">
      <c r="A10" s="9">
        <v>46041</v>
      </c>
      <c r="B10">
        <v>4185</v>
      </c>
      <c r="D10" t="s">
        <v>285</v>
      </c>
      <c r="E10">
        <v>24531</v>
      </c>
      <c r="G10" t="s">
        <v>124</v>
      </c>
      <c r="H10">
        <v>25560</v>
      </c>
    </row>
    <row r="11" spans="1:11">
      <c r="A11" s="9">
        <v>46042</v>
      </c>
      <c r="B11">
        <v>3715</v>
      </c>
      <c r="G11" t="s">
        <v>107</v>
      </c>
      <c r="H11">
        <v>1220</v>
      </c>
      <c r="J11" t="s">
        <v>85</v>
      </c>
      <c r="K11" t="s">
        <v>284</v>
      </c>
    </row>
    <row r="12" spans="1:11">
      <c r="A12" s="9">
        <v>46043</v>
      </c>
      <c r="B12">
        <v>1240</v>
      </c>
      <c r="G12" t="s">
        <v>93</v>
      </c>
      <c r="H12">
        <v>4995</v>
      </c>
      <c r="J12">
        <v>3</v>
      </c>
      <c r="K12">
        <v>22614</v>
      </c>
    </row>
    <row r="13" spans="1:11">
      <c r="A13" s="9">
        <v>46044</v>
      </c>
      <c r="B13">
        <v>6660</v>
      </c>
      <c r="G13" t="s">
        <v>48</v>
      </c>
      <c r="H13">
        <v>1850</v>
      </c>
      <c r="J13">
        <v>4</v>
      </c>
      <c r="K13">
        <v>26487</v>
      </c>
    </row>
    <row r="14" spans="1:11">
      <c r="A14" s="9">
        <v>46045</v>
      </c>
      <c r="B14">
        <v>4407</v>
      </c>
      <c r="G14" t="s">
        <v>286</v>
      </c>
      <c r="H14">
        <v>4479</v>
      </c>
      <c r="J14">
        <v>5</v>
      </c>
      <c r="K14">
        <v>83465</v>
      </c>
    </row>
    <row r="15" spans="1:11">
      <c r="A15" s="9">
        <v>46046</v>
      </c>
      <c r="B15">
        <v>6280</v>
      </c>
      <c r="G15" t="s">
        <v>105</v>
      </c>
      <c r="H15">
        <v>39324</v>
      </c>
      <c r="J15">
        <v>6</v>
      </c>
      <c r="K15">
        <v>270</v>
      </c>
    </row>
    <row r="16" spans="1:11">
      <c r="A16" s="9">
        <v>46048</v>
      </c>
      <c r="B16">
        <v>11220</v>
      </c>
      <c r="G16" t="s">
        <v>86</v>
      </c>
      <c r="H16">
        <v>11545</v>
      </c>
      <c r="J16" t="s">
        <v>285</v>
      </c>
      <c r="K16">
        <v>132836</v>
      </c>
    </row>
    <row r="17" spans="1:12">
      <c r="A17" s="9">
        <v>46049</v>
      </c>
      <c r="B17">
        <v>3425</v>
      </c>
      <c r="G17" t="s">
        <v>114</v>
      </c>
      <c r="H17">
        <v>2030</v>
      </c>
    </row>
    <row r="18" spans="1:12">
      <c r="A18" s="9">
        <v>46050</v>
      </c>
      <c r="B18">
        <v>5874</v>
      </c>
      <c r="G18" t="s">
        <v>35</v>
      </c>
      <c r="H18">
        <v>20143</v>
      </c>
    </row>
    <row r="19" spans="1:12">
      <c r="A19" s="9">
        <v>46051</v>
      </c>
      <c r="B19">
        <v>52940</v>
      </c>
      <c r="G19" t="s">
        <v>71</v>
      </c>
      <c r="H19">
        <v>2085</v>
      </c>
      <c r="J19" t="s">
        <v>83</v>
      </c>
      <c r="K19" t="s">
        <v>284</v>
      </c>
    </row>
    <row r="20" spans="1:12">
      <c r="A20" s="9">
        <v>46052</v>
      </c>
      <c r="B20">
        <v>6065</v>
      </c>
      <c r="G20" t="s">
        <v>118</v>
      </c>
      <c r="H20">
        <v>850</v>
      </c>
      <c r="J20" t="s">
        <v>37</v>
      </c>
      <c r="K20">
        <v>20650</v>
      </c>
    </row>
    <row r="21" spans="1:12">
      <c r="A21" s="9">
        <v>46053</v>
      </c>
      <c r="B21">
        <v>3941</v>
      </c>
      <c r="G21" t="s">
        <v>91</v>
      </c>
      <c r="H21">
        <v>860</v>
      </c>
      <c r="J21" t="s">
        <v>41</v>
      </c>
      <c r="K21">
        <v>8870</v>
      </c>
    </row>
    <row r="22" spans="1:12">
      <c r="A22" s="9">
        <v>46055</v>
      </c>
      <c r="B22">
        <v>270</v>
      </c>
      <c r="G22" t="s">
        <v>285</v>
      </c>
      <c r="H22">
        <v>132836</v>
      </c>
      <c r="J22" t="s">
        <v>45</v>
      </c>
      <c r="K22">
        <v>8414</v>
      </c>
    </row>
    <row r="23" spans="1:12">
      <c r="A23" t="s">
        <v>287</v>
      </c>
      <c r="J23" t="s">
        <v>50</v>
      </c>
      <c r="K23">
        <v>62930</v>
      </c>
    </row>
    <row r="24" spans="1:12">
      <c r="A24" t="s">
        <v>285</v>
      </c>
      <c r="B24">
        <v>132836</v>
      </c>
      <c r="J24" t="s">
        <v>54</v>
      </c>
      <c r="K24">
        <v>16991</v>
      </c>
    </row>
    <row r="25" spans="1:12">
      <c r="J25" t="s">
        <v>58</v>
      </c>
      <c r="K25">
        <v>14981</v>
      </c>
    </row>
    <row r="26" spans="1:12">
      <c r="J26" t="s">
        <v>285</v>
      </c>
      <c r="K26">
        <v>132836</v>
      </c>
    </row>
    <row r="31" spans="1:12">
      <c r="L31" t="s">
        <v>288</v>
      </c>
    </row>
  </sheetData>
  <pageMargins left="0.75" right="0.75" top="1" bottom="1" header="0.5" footer="0.5"/>
  <pageSetup paperSize="1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D12"/>
  <sheetViews>
    <sheetView workbookViewId="0">
      <selection activeCell="C7" sqref="C7"/>
    </sheetView>
  </sheetViews>
  <sheetFormatPr defaultColWidth="9.14285714285714" defaultRowHeight="15" outlineLevelCol="3"/>
  <cols>
    <col min="1" max="1" width="19.1428571428571" customWidth="1"/>
    <col min="2" max="2" width="18.4285714285714" customWidth="1"/>
    <col min="4" max="4" width="12.5714285714286" customWidth="1"/>
  </cols>
  <sheetData>
    <row r="1" spans="1:4">
      <c r="A1" s="7" t="s">
        <v>289</v>
      </c>
      <c r="B1" s="7" t="s">
        <v>290</v>
      </c>
      <c r="C1" s="7" t="s">
        <v>291</v>
      </c>
      <c r="D1" s="7" t="s">
        <v>292</v>
      </c>
    </row>
    <row r="2" ht="45" spans="1:4">
      <c r="A2" s="8" t="s">
        <v>293</v>
      </c>
      <c r="B2" s="8">
        <v>670</v>
      </c>
      <c r="C2" s="8" t="s">
        <v>294</v>
      </c>
      <c r="D2" s="8" t="s">
        <v>295</v>
      </c>
    </row>
    <row r="3" ht="30" spans="1:4">
      <c r="A3" s="8" t="s">
        <v>296</v>
      </c>
      <c r="B3" s="8">
        <v>10</v>
      </c>
      <c r="C3" s="8" t="s">
        <v>294</v>
      </c>
      <c r="D3" s="8" t="s">
        <v>297</v>
      </c>
    </row>
    <row r="4" ht="60" spans="1:4">
      <c r="A4" s="8" t="s">
        <v>298</v>
      </c>
      <c r="B4" s="8">
        <v>70</v>
      </c>
      <c r="C4" s="8" t="s">
        <v>294</v>
      </c>
      <c r="D4" s="8" t="s">
        <v>299</v>
      </c>
    </row>
    <row r="5" ht="30" spans="1:4">
      <c r="A5" s="8" t="s">
        <v>300</v>
      </c>
      <c r="B5" s="8" t="s">
        <v>301</v>
      </c>
      <c r="C5" s="8" t="s">
        <v>294</v>
      </c>
      <c r="D5" s="8" t="s">
        <v>302</v>
      </c>
    </row>
    <row r="6" ht="30" spans="1:4">
      <c r="A6" s="8" t="s">
        <v>303</v>
      </c>
      <c r="B6" s="8" t="s">
        <v>304</v>
      </c>
      <c r="C6" s="8" t="s">
        <v>294</v>
      </c>
      <c r="D6" s="8" t="s">
        <v>305</v>
      </c>
    </row>
    <row r="7" spans="1:4">
      <c r="A7" s="8" t="s">
        <v>306</v>
      </c>
      <c r="B7" s="8" t="s">
        <v>307</v>
      </c>
      <c r="C7" s="8" t="s">
        <v>294</v>
      </c>
      <c r="D7" s="8"/>
    </row>
    <row r="8" spans="1:4">
      <c r="A8" s="8"/>
      <c r="B8" s="8"/>
      <c r="C8" s="8"/>
      <c r="D8" s="8"/>
    </row>
    <row r="9" spans="1:4">
      <c r="A9" s="8"/>
    </row>
    <row r="10" spans="1:4">
      <c r="A10" s="8"/>
    </row>
    <row r="11" spans="1:4">
      <c r="A11" s="8"/>
    </row>
    <row r="12" spans="1:4">
      <c r="A12" s="8"/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4" tint="0.6"/>
  </sheetPr>
  <dimension ref="A1:B14"/>
  <sheetViews>
    <sheetView workbookViewId="0">
      <selection activeCell="G18" sqref="G18"/>
    </sheetView>
  </sheetViews>
  <sheetFormatPr defaultColWidth="9.14285714285714" defaultRowHeight="15" outlineLevelCol="1"/>
  <cols>
    <col min="1" max="1" width="25.8571428571429" customWidth="1"/>
    <col min="2" max="2" width="15.2857142857143"/>
  </cols>
  <sheetData>
    <row r="1" ht="18.75" spans="1:2">
      <c r="A1" s="1" t="s">
        <v>308</v>
      </c>
      <c r="B1" s="1" t="s">
        <v>309</v>
      </c>
    </row>
    <row r="2" spans="1:2">
      <c r="A2" t="s">
        <v>26</v>
      </c>
      <c r="B2" s="2">
        <f>SUM(RAW_DATA!E2:E873)</f>
        <v>75463</v>
      </c>
    </row>
    <row r="3" spans="1:2">
      <c r="A3" t="s">
        <v>27</v>
      </c>
      <c r="B3" s="3">
        <f>COUNTIF(RAW_DATA!E2:E873,"&gt;0")</f>
        <v>577</v>
      </c>
    </row>
    <row r="4" spans="1:2">
      <c r="A4" t="s">
        <v>28</v>
      </c>
      <c r="B4" s="2">
        <f>IFERROR(B2/B3,0)</f>
        <v>130.785095320624</v>
      </c>
    </row>
    <row r="5" spans="1:2">
      <c r="A5" t="s">
        <v>310</v>
      </c>
      <c r="B5" s="2" cm="1">
        <f t="array" ref="B5">MAX(IF((RAW_DATA!D2:D873&lt;&gt;"Rent / Fixed Expense")*(RAW_DATA!D2:D873&lt;&gt;"Owner Withdrawal")*(RAW_DATA!D2:D873&lt;&gt;"Personal / Non-Business"),RAW_DATA!E2:E873))</f>
        <v>7500</v>
      </c>
    </row>
    <row r="6" spans="1:2">
      <c r="A6" t="s">
        <v>311</v>
      </c>
      <c r="B6" s="4" cm="1">
        <f t="array" ref="B6">SUMPRODUCT((COUNTIF(RAW_DATA!A2:A873,RAW_DATA!A2:A873)&gt;0)/COUNTIF(RAW_DATA!A2:A873,RAW_DATA!A2:A873&amp;""))</f>
        <v>20.0000000000001</v>
      </c>
    </row>
    <row r="8" ht="15.75" spans="1:2">
      <c r="A8" s="5" t="s">
        <v>2</v>
      </c>
      <c r="B8" s="5" t="s">
        <v>312</v>
      </c>
    </row>
    <row r="9" spans="1:2">
      <c r="A9" t="s">
        <v>105</v>
      </c>
      <c r="B9" s="6">
        <v>39324</v>
      </c>
    </row>
    <row r="10" spans="1:2">
      <c r="A10" t="s">
        <v>124</v>
      </c>
      <c r="B10" s="6">
        <v>25560</v>
      </c>
    </row>
    <row r="11" spans="1:2">
      <c r="A11" t="s">
        <v>35</v>
      </c>
      <c r="B11" s="6">
        <v>20143</v>
      </c>
    </row>
    <row r="12" spans="1:2">
      <c r="A12" t="s">
        <v>95</v>
      </c>
      <c r="B12" s="6">
        <v>15425</v>
      </c>
    </row>
    <row r="13" spans="1:2">
      <c r="A13" t="s">
        <v>86</v>
      </c>
      <c r="B13" s="6">
        <v>11545</v>
      </c>
    </row>
    <row r="14" spans="1:2">
      <c r="A14" t="s">
        <v>313</v>
      </c>
      <c r="B14" s="6">
        <v>20839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DATA_INPUT</vt:lpstr>
      <vt:lpstr>README</vt:lpstr>
      <vt:lpstr>DASHBOARD</vt:lpstr>
      <vt:lpstr>LOOKUPS</vt:lpstr>
      <vt:lpstr>RAW_DATA</vt:lpstr>
      <vt:lpstr>PIVOT_TABLES</vt:lpstr>
      <vt:lpstr>DATA_QUALITY</vt:lpstr>
      <vt:lpstr>EDA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Doreen Wathimu</cp:lastModifiedBy>
  <dcterms:created xsi:type="dcterms:W3CDTF">2026-06-23T12:12:00Z</dcterms:created>
  <dcterms:modified xsi:type="dcterms:W3CDTF">2026-06-26T07:35:10Z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1DE8496A37E24F1685097F7C6AA2D6A1_13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1</vt:i4>
  </property>
  <property fmtid="{D5CDD505-2E9C-101B-9397-08002B2CF9AE}" pid="5" name="KSOReadingLayout">
    <vt:bool>false</vt:bool>
  </property>
</Properties>
</file>